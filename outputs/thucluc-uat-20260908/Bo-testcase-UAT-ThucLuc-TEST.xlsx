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a384305c9141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5061d14a5bc14f46"/>
    <x:sheet xmlns:r="http://schemas.openxmlformats.org/officeDocument/2006/relationships" name="Tài khoản" sheetId="2" r:id="R1c90ee5dc5e5463e"/>
    <x:sheet xmlns:r="http://schemas.openxmlformats.org/officeDocument/2006/relationships" name="Phạm vi" sheetId="3" r:id="R71153d270ea44613"/>
    <x:sheet xmlns:r="http://schemas.openxmlformats.org/officeDocument/2006/relationships" name="Test cases" sheetId="4" r:id="R2c8e45ebb2ab4011"/>
    <x:sheet xmlns:r="http://schemas.openxmlformats.org/officeDocument/2006/relationships" name="Tổng hợp" sheetId="5" r:id="R7b2e2cc63c0046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10">
    <x:font>
      <x:sz val="11"/>
      <x:name val="Carlito"/>
    </x:font>
    <x:font>
      <x:sz val="10"/>
      <x:color rgb="FF1F2937"/>
      <x:name val="Arial"/>
    </x:font>
    <x:font>
      <x:b/>
      <x:sz val="16"/>
      <x:color rgb="FF173F6B"/>
      <x:name val="Arial"/>
    </x:font>
    <x:font>
      <x:i/>
      <x:sz val="10"/>
      <x:color rgb="FF526579"/>
      <x:name val="Arial"/>
    </x:font>
    <x:font>
      <x:b/>
      <x:sz val="11"/>
      <x:color rgb="FF173F6B"/>
      <x:name val="Arial"/>
    </x:font>
    <x:font>
      <x:b/>
      <x:sz val="10"/>
      <x:color rgb="FFB45F06"/>
      <x:name val="Arial"/>
    </x:font>
    <x:font>
      <x:b/>
      <x:sz val="10"/>
      <x:color rgb="FFFFFFFF"/>
      <x:name val="Arial"/>
    </x:font>
    <x:font>
      <x:sz val="10"/>
      <x:color rgb="FF6B4E00"/>
      <x:name val="Arial"/>
    </x:font>
    <x:font>
      <x:b/>
      <x:sz val="10"/>
      <x:color rgb="FF173F6B"/>
      <x:name val="Arial"/>
    </x:font>
    <x:font>
      <x:b/>
      <x:sz val="10"/>
      <x:color rgb="FF34495E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E8F0F8"/>
      </x:patternFill>
    </x:fill>
    <x:fill>
      <x:patternFill patternType="solid">
        <x:fgColor rgb="FF173F6B"/>
      </x:patternFill>
    </x:fill>
    <x:fill>
      <x:patternFill patternType="solid">
        <x:fgColor rgb="FFFFF6DA"/>
      </x:patternFill>
    </x:fill>
    <x:fill>
      <x:patternFill patternType="solid">
        <x:fgColor rgb="FFFFFBEA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</x:fills>
  <x:borders count="20">
    <x:border/>
    <x:border>
      <x:bottom style="thin">
        <x:color rgb="FF9FB2C5"/>
      </x:bottom>
    </x:border>
    <x:border>
      <x:left style="thin">
        <x:color rgb="FFAFC4D8"/>
      </x:left>
      <x:top style="thin">
        <x:color rgb="FFAFC4D8"/>
      </x:top>
      <x:bottom style="thin">
        <x:color rgb="FFAFC4D8"/>
      </x:bottom>
    </x:border>
    <x:border>
      <x:top style="thin">
        <x:color rgb="FFAFC4D8"/>
      </x:top>
      <x:bottom style="thin">
        <x:color rgb="FFAFC4D8"/>
      </x:bottom>
    </x:border>
    <x:border>
      <x:right style="thin">
        <x:color rgb="FFAFC4D8"/>
      </x:right>
      <x:top style="thin">
        <x:color rgb="FFAFC4D8"/>
      </x:top>
      <x:bottom style="thin">
        <x:color rgb="FFAFC4D8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E4C969"/>
      </x:left>
      <x:top style="thin">
        <x:color rgb="FFE4C969"/>
      </x:top>
      <x:bottom style="thin">
        <x:color rgb="FFE4C969"/>
      </x:bottom>
    </x:border>
    <x:border>
      <x:top style="thin">
        <x:color rgb="FFE4C969"/>
      </x:top>
      <x:bottom style="thin">
        <x:color rgb="FFE4C969"/>
      </x:bottom>
    </x:border>
    <x:border>
      <x:right style="thin">
        <x:color rgb="FFE4C969"/>
      </x:right>
      <x:top style="thin">
        <x:color rgb="FFE4C969"/>
      </x:top>
      <x:bottom style="thin">
        <x:color rgb="FFE4C969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FD8E3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14" xfId="0" applyNumberFormat="1" applyFont="1" applyFill="1" applyBorder="1"/>
    <x:xf numFmtId="0" fontId="7" fillId="4" borderId="15" xfId="0" applyNumberFormat="1" applyFont="1" applyFill="1" applyBorder="1"/>
    <x:xf numFmtId="0" fontId="7" fillId="4" borderId="16" xfId="0" applyNumberFormat="1" applyFont="1" applyFill="1" applyBorder="1"/>
    <x:xf numFmtId="0" fontId="7" fillId="4" borderId="14" xfId="0" applyNumberFormat="1" applyFont="1" applyFill="1" applyBorder="1" applyAlignment="1">
      <x:alignment wrapText="1"/>
    </x:xf>
    <x:xf numFmtId="0" fontId="7" fillId="4" borderId="15" xfId="0" applyNumberFormat="1" applyFont="1" applyFill="1" applyBorder="1" applyAlignment="1">
      <x:alignment wrapText="1"/>
    </x:xf>
    <x:xf numFmtId="0" fontId="7" fillId="4" borderId="16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horizontal="center"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/>
    </x:xf>
    <x:xf numFmtId="0" fontId="1" fillId="0" borderId="6" xfId="0" applyNumberFormat="1" applyFont="1" applyFill="1" applyBorder="1" applyAlignment="1">
      <x:alignment vertical="top"/>
    </x:xf>
    <x:xf numFmtId="0" fontId="1" fillId="0" borderId="7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/>
    </x:xf>
    <x:xf numFmtId="0" fontId="1" fillId="0" borderId="9" xfId="0" applyNumberFormat="1" applyFont="1" applyFill="1" applyBorder="1" applyAlignment="1">
      <x:alignment vertical="top"/>
    </x:xf>
    <x:xf numFmtId="0" fontId="1" fillId="0" borderId="10" xfId="0" applyNumberFormat="1" applyFont="1" applyFill="1" applyBorder="1" applyAlignment="1">
      <x:alignment vertical="top"/>
    </x:xf>
    <x:xf numFmtId="0" fontId="1" fillId="0" borderId="11" xfId="0" applyNumberFormat="1" applyFont="1" applyFill="1" applyBorder="1" applyAlignment="1">
      <x:alignment vertical="top"/>
    </x:xf>
    <x:xf numFmtId="0" fontId="1" fillId="0" borderId="12" xfId="0" applyNumberFormat="1" applyFont="1" applyFill="1" applyBorder="1" applyAlignment="1">
      <x:alignment vertical="top"/>
    </x:xf>
    <x:xf numFmtId="0" fontId="1" fillId="0" borderId="13" xfId="0" applyNumberFormat="1" applyFont="1" applyFill="1" applyBorder="1" applyAlignment="1">
      <x:alignment vertical="top"/>
    </x:xf>
    <x:xf numFmtId="0" fontId="1" fillId="0" borderId="17" xfId="0" applyNumberFormat="1" applyFont="1" applyFill="1" applyBorder="1" applyAlignment="1">
      <x:alignment vertical="top" wrapText="1"/>
    </x:xf>
    <x:xf numFmtId="0" fontId="1" fillId="0" borderId="18" xfId="0" applyNumberFormat="1" applyFont="1" applyFill="1" applyBorder="1" applyAlignment="1">
      <x:alignment vertical="top" wrapText="1"/>
    </x:xf>
    <x:xf numFmtId="0" fontId="1" fillId="0" borderId="19" xfId="0" applyNumberFormat="1" applyFont="1" applyFill="1" applyBorder="1" applyAlignment="1">
      <x:alignment vertical="top" wrapText="1"/>
    </x:xf>
    <x:xf numFmtId="0" fontId="8" fillId="0" borderId="17" xfId="0" applyNumberFormat="1" applyFont="1" applyFill="1" applyBorder="1" applyAlignment="1">
      <x:alignment vertical="top" wrapText="1"/>
    </x:xf>
    <x:xf numFmtId="0" fontId="8" fillId="0" borderId="18" xfId="0" applyNumberFormat="1" applyFont="1" applyFill="1" applyBorder="1" applyAlignment="1">
      <x:alignment vertical="top" wrapText="1"/>
    </x:xf>
    <x:xf numFmtId="0" fontId="8" fillId="0" borderId="19" xfId="0" applyNumberFormat="1" applyFont="1" applyFill="1" applyBorder="1" applyAlignment="1">
      <x:alignment vertical="top" wrapText="1"/>
    </x:xf>
    <x:xf numFmtId="0" fontId="1" fillId="0" borderId="17" xfId="0" applyNumberFormat="1" applyFont="1" applyFill="1" applyBorder="1" applyAlignment="1">
      <x:alignment horizontal="center" vertical="top" wrapText="1"/>
    </x:xf>
    <x:xf numFmtId="0" fontId="1" fillId="0" borderId="18" xfId="0" applyNumberFormat="1" applyFont="1" applyFill="1" applyBorder="1" applyAlignment="1">
      <x:alignment horizontal="center" vertical="top" wrapText="1"/>
    </x:xf>
    <x:xf numFmtId="0" fontId="1" fillId="0" borderId="19" xfId="0" applyNumberFormat="1" applyFont="1" applyFill="1" applyBorder="1" applyAlignment="1">
      <x:alignment horizontal="center" vertical="top" wrapText="1"/>
    </x:xf>
    <x:xf numFmtId="0" fontId="1" fillId="5" borderId="17" xfId="0" applyNumberFormat="1" applyFont="1" applyFill="1" applyBorder="1" applyAlignment="1">
      <x:alignment vertical="top" wrapText="1"/>
    </x:xf>
    <x:xf numFmtId="0" fontId="1" fillId="5" borderId="18" xfId="0" applyNumberFormat="1" applyFont="1" applyFill="1" applyBorder="1" applyAlignment="1">
      <x:alignment vertical="top" wrapText="1"/>
    </x:xf>
    <x:xf numFmtId="0" fontId="1" fillId="5" borderId="19" xfId="0" applyNumberFormat="1" applyFont="1" applyFill="1" applyBorder="1" applyAlignment="1">
      <x:alignment vertical="top" wrapText="1"/>
    </x:xf>
    <x:xf numFmtId="200" fontId="1" fillId="5" borderId="17" xfId="0" applyNumberFormat="1" applyFont="1" applyFill="1" applyBorder="1" applyAlignment="1">
      <x:alignment vertical="top" wrapText="1"/>
    </x:xf>
    <x:xf numFmtId="200" fontId="1" fillId="5" borderId="18" xfId="0" applyNumberFormat="1" applyFont="1" applyFill="1" applyBorder="1" applyAlignment="1">
      <x:alignment vertical="top" wrapText="1"/>
    </x:xf>
    <x:xf numFmtId="200" fontId="1" fillId="5" borderId="19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/>
    <x:xf numFmtId="201" fontId="1" fillId="0" borderId="13" xfId="0" applyNumberFormat="1" applyFont="1" applyFill="1" applyBorder="1"/>
    <x:xf numFmtId="0" fontId="9" fillId="0" borderId="5" xfId="0" applyNumberFormat="1" applyFont="1" applyFill="1" applyBorder="1"/>
    <x:xf numFmtId="0" fontId="9" fillId="0" borderId="8" xfId="0" applyNumberFormat="1" applyFont="1" applyFill="1" applyBorder="1"/>
    <x:xf numFmtId="0" fontId="9" fillId="0" borderId="11" xfId="0" applyNumberFormat="1" applyFont="1" applyFill="1" applyBorder="1"/>
    <x:xf numFmtId="0" fontId="1" fillId="6" borderId="10" xfId="0" applyNumberFormat="1" applyFont="1" applyFill="1" applyBorder="1"/>
    <x:xf numFmtId="0" fontId="1" fillId="7" borderId="10" xfId="0" applyNumberFormat="1" applyFont="1" applyFill="1" applyBorder="1"/>
    <x:xf numFmtId="0" fontId="1" fillId="8" borderId="10" xfId="0" applyNumberFormat="1" applyFont="1" applyFill="1" applyBorder="1"/>
  </x:cellXfs>
  <x:cellStyles count="1">
    <x:cellStyle name="Normal" xfId="0"/>
  </x:cellStyles>
  <x:dxfs count="4">
    <x:dxf>
      <x:font>
        <x:b/>
        <x:color rgb="FF276221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A64D00"/>
      </x:font>
      <x:fill>
        <x:patternFill patternType="solid">
          <x:bgColor rgb="FFFCE5CD"/>
        </x:patternFill>
      </x:fill>
    </x:dxf>
    <x:dxf>
      <x:font>
        <x:b/>
        <x:color rgb="FF134F5C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0719b50e8d46f5" /><Relationship Type="http://schemas.openxmlformats.org/officeDocument/2006/relationships/theme" Target="/xl/theme/theme1.xml" Id="Rb803bfebdbea4c69" /><Relationship Type="http://schemas.openxmlformats.org/officeDocument/2006/relationships/sharedStrings" Target="/xl/sharedStrings.xml" Id="R65f3191770764a3d" /><Relationship Type="http://schemas.openxmlformats.org/officeDocument/2006/relationships/worksheet" Target="/xl/worksheets/sheet1.xml" Id="R5061d14a5bc14f46" /><Relationship Type="http://schemas.openxmlformats.org/officeDocument/2006/relationships/worksheet" Target="/xl/worksheets/sheet2.xml" Id="R1c90ee5dc5e5463e" /><Relationship Type="http://schemas.openxmlformats.org/officeDocument/2006/relationships/worksheet" Target="/xl/worksheets/sheet3.xml" Id="R71153d270ea44613" /><Relationship Type="http://schemas.openxmlformats.org/officeDocument/2006/relationships/worksheet" Target="/xl/worksheets/sheet4.xml" Id="R2c8e45ebb2ab4011" /><Relationship Type="http://schemas.openxmlformats.org/officeDocument/2006/relationships/worksheet" Target="/xl/worksheets/sheet5.xml" Id="R7b2e2cc63c00460a" /></Relationships>
</file>

<file path=xl/tables/table1.xml><?xml version="1.0" encoding="utf-8"?>
<x:table xmlns:x="http://schemas.openxmlformats.org/spreadsheetml/2006/main" id="1" name="UatTestCases" displayName="UatTestCases" ref="A4:O157" headerRowCount="1" totalsRowCount="0" totalsRowShown="0">
  <x:autoFilter ref="A4:O157"/>
  <x:tableColumns count="15">
    <x:tableColumn id="1" name="ID"/>
    <x:tableColumn id="2" name="Nhóm chức năng"/>
    <x:tableColumn id="3" name="Chức năng"/>
    <x:tableColumn id="4" name="Vai trò/Tài khoản"/>
    <x:tableColumn id="5" name="Loại kiểm thử"/>
    <x:tableColumn id="6" name="Ưu tiên"/>
    <x:tableColumn id="7" name="Tiền điều kiện"/>
    <x:tableColumn id="8" name="Các bước thực hiện"/>
    <x:tableColumn id="9" name="Dữ liệu kiểm thử"/>
    <x:tableColumn id="10" name="Kết quả mong đợi"/>
    <x:tableColumn id="11" name="Trạng thái"/>
    <x:tableColumn id="12" name="Người kiểm thử"/>
    <x:tableColumn id="13" name="Ngày kiểm thử"/>
    <x:tableColumn id="14" name="Kết quả thực tế"/>
    <x:tableColumn id="15" name="Mã lỗi/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b6abb31341cb442f" /></Relationships>
</file>

<file path=xl/worksheets/sheet1.xml><?xml version="1.0" encoding="utf-8"?>
<x:worksheet xmlns:x="http://schemas.openxmlformats.org/spreadsheetml/2006/main">
  <x:sheetPr>
    <x:tabColor rgb="FF173F6B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48" hidden="0" customWidth="1"/>
    <x:col min="3" max="3" width="36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6" customHeight="1">
      <x:c r="A1" s="3" t="str">
        <x:v>Bộ testcase UAT - Hệ thống Thực lực CNTT</x:v>
      </x:c>
      <x:c r="B1" s="2"/>
      <x:c r="C1" s="2"/>
      <x:c r="D1" s="2"/>
      <x:c r="E1" s="2"/>
      <x:c r="F1" s="2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2" customHeight="1">
      <x:c r="A2" s="5" t="str">
        <x:v>Môi trường TEST · Build test-20260908-1 · Lập ngày 08/09/2026</x:v>
      </x:c>
      <x:c r="B2" s="5"/>
      <x:c r="C2" s="5"/>
      <x:c r="D2" s="5"/>
      <x:c r="E2" s="5"/>
      <x:c r="F2" s="5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8" t="str">
        <x:v>Cách sử dụng</x:v>
      </x:c>
      <x:c r="B4" s="9"/>
      <x:c r="C4" s="9"/>
      <x:c r="D4" s="9"/>
      <x:c r="E4" s="9"/>
      <x:c r="F4" s="10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2" customHeight="1">
      <x:c r="A5" s="16" t="str">
        <x:v>1</x:v>
      </x:c>
      <x:c r="B5" s="17" t="str">
        <x:v>Bắt đầu bằng testcase P0 trong sheet Test cases.</x:v>
      </x:c>
      <x:c r="C5" s="17"/>
      <x:c r="D5" s="17"/>
      <x:c r="E5" s="17"/>
      <x:c r="F5" s="18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2" customHeight="1">
      <x:c r="A6" s="19" t="str">
        <x:v>2</x:v>
      </x:c>
      <x:c r="B6" s="20" t="str">
        <x:v>Dùng đúng tài khoản được ghi tại từng testcase. Không dùng admin để thay cho kiểm thử phân quyền nghiệp vụ.</x:v>
      </x:c>
      <x:c r="C6" s="20"/>
      <x:c r="D6" s="20"/>
      <x:c r="E6" s="20"/>
      <x:c r="F6" s="2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32" customHeight="1">
      <x:c r="A7" s="19" t="str">
        <x:v>3</x:v>
      </x:c>
      <x:c r="B7" s="20" t="str">
        <x:v>Với dữ liệu tạo mới, thêm hậu tố UAT_&lt;tên tester&gt;_&lt;giờ phút&gt; để dễ tìm và dọn dữ liệu.</x:v>
      </x:c>
      <x:c r="C7" s="20"/>
      <x:c r="D7" s="20"/>
      <x:c r="E7" s="20"/>
      <x:c r="F7" s="2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32" customHeight="1">
      <x:c r="A8" s="19" t="str">
        <x:v>4</x:v>
      </x:c>
      <x:c r="B8" s="20" t="str">
        <x:v>Cập nhật Trạng thái, Người kiểm thử, Ngày kiểm thử, Kết quả thực tế và Mã lỗi/Ghi chú.</x:v>
      </x:c>
      <x:c r="C8" s="20"/>
      <x:c r="D8" s="20"/>
      <x:c r="E8" s="20"/>
      <x:c r="F8" s="2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32" customHeight="1">
      <x:c r="A9" s="19" t="str">
        <x:v>5</x:v>
      </x:c>
      <x:c r="B9" s="20" t="str">
        <x:v>Khi Fail, ghi rõ URL, thời điểm, dữ liệu đã nhập và ảnh chụp. Không ghi mật khẩu vào phiếu lỗi.</x:v>
      </x:c>
      <x:c r="C9" s="20"/>
      <x:c r="D9" s="20"/>
      <x:c r="E9" s="20"/>
      <x:c r="F9" s="2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32" customHeight="1">
      <x:c r="A10" s="22" t="str">
        <x:v>6</x:v>
      </x:c>
      <x:c r="B10" s="23" t="str">
        <x:v>Chỉ kết luận đạt UAT khi toàn bộ P0 Pass và không còn lỗi nghiêm trọng ở P1.</x:v>
      </x:c>
      <x:c r="C10" s="23"/>
      <x:c r="D10" s="23"/>
      <x:c r="E10" s="23"/>
      <x:c r="F10" s="24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29" t="str">
        <x:v>Trạng thái</x:v>
      </x:c>
      <x:c r="B12" s="29" t="str">
        <x:v>Khi sử dụng</x:v>
      </x:c>
      <x:c r="C12" s="29" t="str">
        <x:v>Ý nghĩa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30" t="str">
        <x:v>Chưa chạy</x:v>
      </x:c>
      <x:c r="B13" s="31" t="str">
        <x:v>Mặc định</x:v>
      </x:c>
      <x:c r="C13" s="32" t="str">
        <x:v>Chưa thực hiện testcase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33" t="str">
        <x:v>Đang chạy</x:v>
      </x:c>
      <x:c r="B14" s="34" t="str">
        <x:v>Trong lúc kiểm thử</x:v>
      </x:c>
      <x:c r="C14" s="35" t="str">
        <x:v>Đang thực hiện hoặc đang thu thập bằng chứng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33" t="str">
        <x:v>Pass</x:v>
      </x:c>
      <x:c r="B15" s="34" t="str">
        <x:v>Kết quả đúng</x:v>
      </x:c>
      <x:c r="C15" s="35" t="str">
        <x:v>Kết quả thực tế khớp hoàn toàn với mong đợi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33" t="str">
        <x:v>Fail</x:v>
      </x:c>
      <x:c r="B16" s="34" t="str">
        <x:v>Có lỗi</x:v>
      </x:c>
      <x:c r="C16" s="35" t="str">
        <x:v>Có sai khác và đã ghi mã lỗi/bằng chứng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36" t="str">
        <x:v>Blocked</x:v>
      </x:c>
      <x:c r="B17" s="37" t="str">
        <x:v>Không thể chạy</x:v>
      </x:c>
      <x:c r="C17" s="38" t="str">
        <x:v>Thiếu dữ liệu, quyền, dịch vụ hoặc điều kiện môi trường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44" t="str">
        <x:v>Lưu ý: các tài khoản và mật khẩu trong workbook chỉ dùng cho môi trường TEST. Phải thay đổi hoặc loại bỏ trước khi triển khai chính thức.</x:v>
      </x:c>
      <x:c r="B19" s="45"/>
      <x:c r="C19" s="45"/>
      <x:c r="D19" s="45"/>
      <x:c r="E19" s="45"/>
      <x:c r="F19" s="46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4" customHeight="1">
      <x:c r="A21" s="1"/>
      <x:c r="B21" s="29" t="str">
        <x:v>Nguồn xác định phạm vi</x:v>
      </x:c>
      <x:c r="C21" s="29" t="str">
        <x:v>Phiên bản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24" customHeight="1">
      <x:c r="A22" s="1"/>
      <x:c r="B22" s="47" t="str">
        <x:v>Cấu hình route giao diện (app.routes.ts)</x:v>
      </x:c>
      <x:c r="C22" s="48" t="str">
        <x:v>test-20260908-1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24" customHeight="1">
      <x:c r="A23" s="1"/>
      <x:c r="B23" s="49" t="str">
        <x:v>Danh mục quyền backend (Permissions.cs)</x:v>
      </x:c>
      <x:c r="C23" s="50" t="str">
        <x:v>test-20260908-1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24" customHeight="1">
      <x:c r="A24" s="1"/>
      <x:c r="B24" s="49" t="str">
        <x:v>Tài khoản và vai trò mẫu (BaselineDataSeeder.cs)</x:v>
      </x:c>
      <x:c r="C24" s="50" t="str">
        <x:v>test-20260908-1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24" customHeight="1">
      <x:c r="A25" s="1"/>
      <x:c r="B25" s="51" t="str">
        <x:v>Cấu hình triển khai máy chủ TEST</x:v>
      </x:c>
      <x:c r="C25" s="52" t="str">
        <x:v>10.10.79.248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</x:sheetData>
  <x:mergeCells>
    <x:mergeCell ref="A2:F2"/>
    <x:mergeCell ref="A4:F4"/>
    <x:mergeCell ref="B5:F5"/>
    <x:mergeCell ref="B6:F6"/>
    <x:mergeCell ref="B7:F7"/>
    <x:mergeCell ref="B8:F8"/>
    <x:mergeCell ref="B9:F9"/>
    <x:mergeCell ref="B10:F10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A7C5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8" hidden="0" customWidth="1"/>
    <x:col min="3" max="3" width="20" hidden="0" customWidth="1"/>
    <x:col min="4" max="4" width="28" hidden="0" customWidth="1"/>
    <x:col min="5" max="5" width="36" hidden="0" customWidth="1"/>
    <x:col min="6" max="6" width="34" hidden="0" customWidth="1"/>
  </x:cols>
  <x:sheetData>
    <x:row r="1" ht="26" customHeight="1">
      <x:c r="A1" s="56" t="str">
        <x:v>Tài khoản và địa chỉ TEST</x:v>
      </x:c>
      <x:c r="B1" s="57"/>
      <x:c r="C1" s="57"/>
      <x:c r="D1" s="57"/>
      <x:c r="E1" s="57"/>
      <x:c r="F1" s="57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2" customHeight="1">
      <x:c r="A2" s="58" t="str">
        <x:v>Thông tin bàn giao cho đội kiểm thử</x:v>
      </x:c>
      <x:c r="B2" s="58"/>
      <x:c r="C2" s="58"/>
      <x:c r="D2" s="58"/>
      <x:c r="E2" s="58"/>
      <x:c r="F2" s="58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59"/>
      <x:c r="B3" s="59"/>
      <x:c r="C3" s="59"/>
      <x:c r="D3" s="59"/>
      <x:c r="E3" s="59"/>
      <x:c r="F3" s="59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60" t="str">
        <x:v>Tài khoản</x:v>
      </x:c>
      <x:c r="B4" s="60" t="str">
        <x:v>Mật khẩu</x:v>
      </x:c>
      <x:c r="C4" s="60" t="str">
        <x:v>Vai trò</x:v>
      </x:c>
      <x:c r="D4" s="60" t="str">
        <x:v>Đơn vị/phạm vi</x:v>
      </x:c>
      <x:c r="E4" s="60" t="str">
        <x:v>Mục đích chính</x:v>
      </x:c>
      <x:c r="F4" s="60" t="str">
        <x:v>Ghi chú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61" t="str">
        <x:v>admin</x:v>
      </x:c>
      <x:c r="B5" s="17" t="str">
        <x:v>Admin@123</x:v>
      </x:c>
      <x:c r="C5" s="17" t="str">
        <x:v>SYSTEM_ADMIN</x:v>
      </x:c>
      <x:c r="D5" s="17" t="str">
        <x:v>H05</x:v>
      </x:c>
      <x:c r="E5" s="17" t="str">
        <x:v>Quản trị người dùng, vai trò, danh mục</x:v>
      </x:c>
      <x:c r="F5" s="18" t="str">
        <x:v>Không thay cho tài khoản nghiệp vụ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62" t="str">
        <x:v>h05.user</x:v>
      </x:c>
      <x:c r="B6" s="20" t="str">
        <x:v>H05User@123</x:v>
      </x:c>
      <x:c r="C6" s="20" t="str">
        <x:v>QUAN_LY</x:v>
      </x:c>
      <x:c r="D6" s="20" t="str">
        <x:v>H05</x:v>
      </x:c>
      <x:c r="E6" s="20" t="str">
        <x:v>Quản lý kỳ, mẫu, tiến độ và phê duyệt</x:v>
      </x:c>
      <x:c r="F6" s="21" t="str">
        <x:v>Tài khoản quản lý nghiệp vụ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62" t="str">
        <x:v>donvi.user</x:v>
      </x:c>
      <x:c r="B7" s="20" t="str">
        <x:v>DonViUser@123</x:v>
      </x:c>
      <x:c r="C7" s="20" t="str">
        <x:v>CAP_TINH</x:v>
      </x:c>
      <x:c r="D7" s="20" t="str">
        <x:v>Công an TP Hà Nội</x:v>
      </x:c>
      <x:c r="E7" s="20" t="str">
        <x:v>Nhập liệu, nộp và xuất báo cáo</x:v>
      </x:c>
      <x:c r="F7" s="21" t="str">
        <x:v>Tài khoản nhập liệu chính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62" t="str">
        <x:v>viewer.user</x:v>
      </x:c>
      <x:c r="B8" s="20" t="str">
        <x:v>ViewerUser@123</x:v>
      </x:c>
      <x:c r="C8" s="20" t="str">
        <x:v>VIEWER</x:v>
      </x:c>
      <x:c r="D8" s="20" t="str">
        <x:v>Đà Nẵng</x:v>
      </x:c>
      <x:c r="E8" s="20" t="str">
        <x:v>Kiểm tra quyền chỉ xem</x:v>
      </x:c>
      <x:c r="F8" s="21" t="str">
        <x:v>Không được sửa dữ liệu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63" t="str">
        <x:v>h05.viewer</x:v>
      </x:c>
      <x:c r="B9" s="23" t="str">
        <x:v>H05Viewer@123</x:v>
      </x:c>
      <x:c r="C9" s="23" t="str">
        <x:v>LANH_DAO</x:v>
      </x:c>
      <x:c r="D9" s="23" t="str">
        <x:v>H05</x:v>
      </x:c>
      <x:c r="E9" s="23" t="str">
        <x:v>Tra cứu và xuất báo cáo</x:v>
      </x:c>
      <x:c r="F9" s="24" t="str">
        <x:v>Quyền đọc cấp lãnh đạo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59"/>
      <x:c r="B10" s="59"/>
      <x:c r="C10" s="59"/>
      <x:c r="D10" s="59"/>
      <x:c r="E10" s="59"/>
      <x:c r="F10" s="59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59"/>
      <x:c r="B11" s="59"/>
      <x:c r="C11" s="59"/>
      <x:c r="D11" s="59"/>
      <x:c r="E11" s="59"/>
      <x:c r="F11" s="59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60" t="str">
        <x:v>Dịch vụ</x:v>
      </x:c>
      <x:c r="B12" s="60" t="str">
        <x:v>Địa chỉ</x:v>
      </x:c>
      <x:c r="C12" s="60" t="str">
        <x:v>Đối tượng sử dụng</x:v>
      </x:c>
      <x:c r="D12" s="60" t="str">
        <x:v>Ghi chú</x:v>
      </x:c>
      <x:c r="E12" s="59"/>
      <x:c r="F12" s="59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64" t="str">
        <x:v>Đăng nhập ứng dụng</x:v>
      </x:c>
      <x:c r="B13" s="65" t="str">
        <x:v>http://10.10.79.248:8081/login</x:v>
      </x:c>
      <x:c r="C13" s="65" t="str">
        <x:v>Đội kiểm thử</x:v>
      </x:c>
      <x:c r="D13" s="66" t="str">
        <x:v>Điểm truy cập chính</x:v>
      </x:c>
      <x:c r="E13" s="59"/>
      <x:c r="F13" s="59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67" t="str">
        <x:v>Trang chính</x:v>
      </x:c>
      <x:c r="B14" s="68" t="str">
        <x:v>http://10.10.79.248:8081/trang-chu</x:v>
      </x:c>
      <x:c r="C14" s="68" t="str">
        <x:v>Đội kiểm thử</x:v>
      </x:c>
      <x:c r="D14" s="69" t="str">
        <x:v>Yêu cầu đăng nhập</x:v>
      </x:c>
      <x:c r="E14" s="59"/>
      <x:c r="F14" s="59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67" t="str">
        <x:v>Swagger API</x:v>
      </x:c>
      <x:c r="B15" s="68" t="str">
        <x:v>http://10.10.79.248:8080/swagger/index.html</x:v>
      </x:c>
      <x:c r="C15" s="68" t="str">
        <x:v>Tester API/kỹ thuật</x:v>
      </x:c>
      <x:c r="D15" s="69" t="str">
        <x:v>Không dùng cho UAT thông thường</x:v>
      </x:c>
      <x:c r="E15" s="59"/>
      <x:c r="F15" s="59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67" t="str">
        <x:v>Backend health</x:v>
      </x:c>
      <x:c r="B16" s="68" t="str">
        <x:v>http://10.10.79.248:8080/health</x:v>
      </x:c>
      <x:c r="C16" s="68" t="str">
        <x:v>Kỹ thuật</x:v>
      </x:c>
      <x:c r="D16" s="69" t="str">
        <x:v>Kiểm tra Oracle, MinIO và cấu hình PDF</x:v>
      </x:c>
      <x:c r="E16" s="59"/>
      <x:c r="F16" s="59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67" t="str">
        <x:v>Backend version</x:v>
      </x:c>
      <x:c r="B17" s="68" t="str">
        <x:v>http://10.10.79.248:8080/version</x:v>
      </x:c>
      <x:c r="C17" s="68" t="str">
        <x:v>Kỹ thuật</x:v>
      </x:c>
      <x:c r="D17" s="69" t="str">
        <x:v>Kiểm tra đúng build</x:v>
      </x:c>
      <x:c r="E17" s="59"/>
      <x:c r="F17" s="59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67" t="str">
        <x:v>MinIO Console</x:v>
      </x:c>
      <x:c r="B18" s="68" t="str">
        <x:v>http://10.10.79.248:9001</x:v>
      </x:c>
      <x:c r="C18" s="68" t="str">
        <x:v>Quản trị hệ thống</x:v>
      </x:c>
      <x:c r="D18" s="69" t="str">
        <x:v>Không cung cấp credential cho tester</x:v>
      </x:c>
      <x:c r="E18" s="59"/>
      <x:c r="F18" s="59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70" t="str">
        <x:v>Gotenberg</x:v>
      </x:c>
      <x:c r="B19" s="71" t="str">
        <x:v>http://127.0.0.1:3000</x:v>
      </x:c>
      <x:c r="C19" s="71" t="str">
        <x:v>Nội bộ máy chủ</x:v>
      </x:c>
      <x:c r="D19" s="72" t="str">
        <x:v>Không truy cập từ máy trạm</x:v>
      </x:c>
      <x:c r="E19" s="59"/>
      <x:c r="F19" s="59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</x:sheetData>
  <x:mergeCells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A5C9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24" hidden="0" customWidth="1"/>
    <x:col min="5" max="5" width="58" hidden="0" customWidth="1"/>
  </x:cols>
  <x:sheetData>
    <x:row r="1" ht="26" customHeight="1">
      <x:c r="A1" s="3" t="str">
        <x:v>Phạm vi chức năng</x:v>
      </x:c>
      <x:c r="B1" s="2"/>
      <x:c r="C1" s="2"/>
      <x:c r="D1" s="2"/>
      <x:c r="E1" s="2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2" customHeight="1">
      <x:c r="A2" s="5" t="str">
        <x:v>Các màn hình chính và tài khoản ưu tiên để kiểm thử</x:v>
      </x:c>
      <x:c r="B2" s="5"/>
      <x:c r="C2" s="5"/>
      <x:c r="D2" s="5"/>
      <x:c r="E2" s="5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9" t="str">
        <x:v>Nhóm</x:v>
      </x:c>
      <x:c r="B4" s="29" t="str">
        <x:v>Chức năng</x:v>
      </x:c>
      <x:c r="C4" s="29" t="str">
        <x:v>Đường dẫn</x:v>
      </x:c>
      <x:c r="D4" s="29" t="str">
        <x:v>Tài khoản chính</x:v>
      </x:c>
      <x:c r="E4" s="29" t="str">
        <x:v>Trọng tâm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8" customHeight="1">
      <x:c r="A5" s="47" t="str">
        <x:v>Chung</x:v>
      </x:c>
      <x:c r="B5" s="53" t="str">
        <x:v>Đăng nhập</x:v>
      </x:c>
      <x:c r="C5" s="53" t="str">
        <x:v>/login</x:v>
      </x:c>
      <x:c r="D5" s="53" t="str">
        <x:v>Tất cả</x:v>
      </x:c>
      <x:c r="E5" s="48" t="str">
        <x:v>Xác thực, phiên đăng nhập và thông báo lỗi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8" customHeight="1">
      <x:c r="A6" s="49" t="str">
        <x:v>Quản trị</x:v>
      </x:c>
      <x:c r="B6" s="54" t="str">
        <x:v>Người dùng, vai trò, quyền, phân quyền</x:v>
      </x:c>
      <x:c r="C6" s="54" t="str">
        <x:v>/nguoi-dung</x:v>
      </x:c>
      <x:c r="D6" s="54" t="str">
        <x:v>admin</x:v>
      </x:c>
      <x:c r="E6" s="50" t="str">
        <x:v>CRUD và giới hạn vai trò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38" customHeight="1">
      <x:c r="A7" s="49" t="str">
        <x:v>Quản trị</x:v>
      </x:c>
      <x:c r="B7" s="54" t="str">
        <x:v>Đơn vị và danh mục</x:v>
      </x:c>
      <x:c r="C7" s="54" t="str">
        <x:v>/don-vi</x:v>
      </x:c>
      <x:c r="D7" s="54" t="str">
        <x:v>admin/h05.user</x:v>
      </x:c>
      <x:c r="E7" s="50" t="str">
        <x:v>Cây đơn vị, mã trùng và trạng thái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38" customHeight="1">
      <x:c r="A8" s="49" t="str">
        <x:v>Báo cáo</x:v>
      </x:c>
      <x:c r="B8" s="54" t="str">
        <x:v>Kỳ và mẫu báo cáo</x:v>
      </x:c>
      <x:c r="C8" s="54" t="str">
        <x:v>/ky-bao-cao</x:v>
      </x:c>
      <x:c r="D8" s="54" t="str">
        <x:v>h05.user</x:v>
      </x:c>
      <x:c r="E8" s="50" t="str">
        <x:v>Tạo kỳ, mở/đóng kỳ và gán mẫu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38" customHeight="1">
      <x:c r="A9" s="49" t="str">
        <x:v>Báo cáo</x:v>
      </x:c>
      <x:c r="B9" s="54" t="str">
        <x:v>Nộp báo cáo</x:v>
      </x:c>
      <x:c r="C9" s="54" t="str">
        <x:v>/nop-bao-cao</x:v>
      </x:c>
      <x:c r="D9" s="54" t="str">
        <x:v>donvi.user</x:v>
      </x:c>
      <x:c r="E9" s="50" t="str">
        <x:v>Chốt dữ liệu, nộp và tạo phiên bản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38" customHeight="1">
      <x:c r="A10" s="49" t="str">
        <x:v>Báo cáo</x:v>
      </x:c>
      <x:c r="B10" s="54" t="str">
        <x:v>Tiến độ và bổ sung</x:v>
      </x:c>
      <x:c r="C10" s="54" t="str">
        <x:v>/tien-do-nop</x:v>
      </x:c>
      <x:c r="D10" s="54" t="str">
        <x:v>h05.user</x:v>
      </x:c>
      <x:c r="E10" s="50" t="str">
        <x:v>Theo dõi, yêu cầu bổ sung và mở lại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38" customHeight="1">
      <x:c r="A11" s="49" t="str">
        <x:v>Báo cáo</x:v>
      </x:c>
      <x:c r="B11" s="54" t="str">
        <x:v>Tra cứu và so sánh</x:v>
      </x:c>
      <x:c r="C11" s="54" t="str">
        <x:v>/tra-cuu-bao-cao</x:v>
      </x:c>
      <x:c r="D11" s="54" t="str">
        <x:v>h05.user/h05.viewer</x:v>
      </x:c>
      <x:c r="E11" s="50" t="str">
        <x:v>Phạm vi, lọc, xem PDF và xuất file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38" customHeight="1">
      <x:c r="A12" s="49" t="str">
        <x:v>Dữ liệu nghiệp vụ</x:v>
      </x:c>
      <x:c r="B12" s="54" t="str">
        <x:v>Nhân lực CNTT</x:v>
      </x:c>
      <x:c r="C12" s="54" t="str">
        <x:v>/nhan-luc-cntt</x:v>
      </x:c>
      <x:c r="D12" s="54" t="str">
        <x:v>donvi.user</x:v>
      </x:c>
      <x:c r="E12" s="50" t="str">
        <x:v>Họ tên là bắt buộc; các trường mô tả phải đúng độ dài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38" customHeight="1">
      <x:c r="A13" s="49" t="str">
        <x:v>Dữ liệu nghiệp vụ</x:v>
      </x:c>
      <x:c r="B13" s="54" t="str">
        <x:v>Đào tạo bồi dưỡng</x:v>
      </x:c>
      <x:c r="C13" s="54" t="str">
        <x:v>/dao-tao-boi-duong</x:v>
      </x:c>
      <x:c r="D13" s="54" t="str">
        <x:v>donvi.user</x:v>
      </x:c>
      <x:c r="E13" s="50" t="str">
        <x:v>Tên khóa học và đơn vị tổ chức bắt buộc; ngày kết thúc không trước ngày bắt đầu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38" customHeight="1">
      <x:c r="A14" s="49" t="str">
        <x:v>Dữ liệu nghiệp vụ</x:v>
      </x:c>
      <x:c r="B14" s="54" t="str">
        <x:v>Đào tạo học viên</x:v>
      </x:c>
      <x:c r="C14" s="54" t="str">
        <x:v>/dao-tao-hoc-vien</x:v>
      </x:c>
      <x:c r="D14" s="54" t="str">
        <x:v>donvi.user</x:v>
      </x:c>
      <x:c r="E14" s="50" t="str">
        <x:v>Năm từ 2000 đến 2100; số lượng không âm; nội dung đào tạo bắt buộc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38" customHeight="1">
      <x:c r="A15" s="49" t="str">
        <x:v>Dữ liệu nghiệp vụ</x:v>
      </x:c>
      <x:c r="B15" s="54" t="str">
        <x:v>Năng lực số</x:v>
      </x:c>
      <x:c r="C15" s="54" t="str">
        <x:v>/nang-luc-so</x:v>
      </x:c>
      <x:c r="D15" s="54" t="str">
        <x:v>donvi.user</x:v>
      </x:c>
      <x:c r="E15" s="50" t="str">
        <x:v>Nhóm vị trí bắt buộc; số lượng không âm và tổng đạt/chưa đạt phải hợp lệ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38" customHeight="1">
      <x:c r="A16" s="49" t="str">
        <x:v>Dữ liệu nghiệp vụ</x:v>
      </x:c>
      <x:c r="B16" s="54" t="str">
        <x:v>Thiết bị CNTT</x:v>
      </x:c>
      <x:c r="C16" s="54" t="str">
        <x:v>/thiet-bi-cntt</x:v>
      </x:c>
      <x:c r="D16" s="54" t="str">
        <x:v>donvi.user</x:v>
      </x:c>
      <x:c r="E16" s="50" t="str">
        <x:v>Chọn loại thiết bị và nhập các trường bắt buộc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38" customHeight="1">
      <x:c r="A17" s="49" t="str">
        <x:v>Dữ liệu nghiệp vụ</x:v>
      </x:c>
      <x:c r="B17" s="54" t="str">
        <x:v>Hệ thống thông tin</x:v>
      </x:c>
      <x:c r="C17" s="54" t="str">
        <x:v>/he-thong-thong-tin</x:v>
      </x:c>
      <x:c r="D17" s="54" t="str">
        <x:v>donvi.user</x:v>
      </x:c>
      <x:c r="E17" s="50" t="str">
        <x:v>Tên hệ thống và thông tin phân loại phải hợp lệ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38" customHeight="1">
      <x:c r="A18" s="49" t="str">
        <x:v>Dữ liệu nghiệp vụ</x:v>
      </x:c>
      <x:c r="B18" s="54" t="str">
        <x:v>Hạ tầng mạng</x:v>
      </x:c>
      <x:c r="C18" s="54" t="str">
        <x:v>/ha-tang-mang</x:v>
      </x:c>
      <x:c r="D18" s="54" t="str">
        <x:v>donvi.user</x:v>
      </x:c>
      <x:c r="E18" s="50" t="str">
        <x:v>Các số liệu không âm và trường bắt buộc không để trống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38" customHeight="1">
      <x:c r="A19" s="49" t="str">
        <x:v>Dữ liệu nghiệp vụ</x:v>
      </x:c>
      <x:c r="B19" s="54" t="str">
        <x:v>Giám sát NOC</x:v>
      </x:c>
      <x:c r="C19" s="54" t="str">
        <x:v>/giam-sat-noc</x:v>
      </x:c>
      <x:c r="D19" s="54" t="str">
        <x:v>donvi.user</x:v>
      </x:c>
      <x:c r="E19" s="50" t="str">
        <x:v>Thông tin hệ thống giám sát phải thuộc đúng đơn vị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38" customHeight="1">
      <x:c r="A20" s="49" t="str">
        <x:v>Dữ liệu nghiệp vụ</x:v>
      </x:c>
      <x:c r="B20" s="54" t="str">
        <x:v>Camera quản lý</x:v>
      </x:c>
      <x:c r="C20" s="54" t="str">
        <x:v>/camera-quan-ly</x:v>
      </x:c>
      <x:c r="D20" s="54" t="str">
        <x:v>donvi.user</x:v>
      </x:c>
      <x:c r="E20" s="50" t="str">
        <x:v>Thông tin camera và số lượng phải hợp lệ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38" customHeight="1">
      <x:c r="A21" s="49" t="str">
        <x:v>Dữ liệu nghiệp vụ</x:v>
      </x:c>
      <x:c r="B21" s="54" t="str">
        <x:v>Camera thực trạng</x:v>
      </x:c>
      <x:c r="C21" s="54" t="str">
        <x:v>/camera-thuc-trang</x:v>
      </x:c>
      <x:c r="D21" s="54" t="str">
        <x:v>donvi.user</x:v>
      </x:c>
      <x:c r="E21" s="50" t="str">
        <x:v>Thông tin vị trí/trạng thái phải hợp lệ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38" customHeight="1">
      <x:c r="A22" s="49" t="str">
        <x:v>Dữ liệu nghiệp vụ</x:v>
      </x:c>
      <x:c r="B22" s="54" t="str">
        <x:v>Dự án CNTT</x:v>
      </x:c>
      <x:c r="C22" s="54" t="str">
        <x:v>/du-an-cntt</x:v>
      </x:c>
      <x:c r="D22" s="54" t="str">
        <x:v>donvi.user</x:v>
      </x:c>
      <x:c r="E22" s="50" t="str">
        <x:v>Tên dự án và thông tin bắt buộc phải hợp lệ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38" customHeight="1">
      <x:c r="A23" s="49" t="str">
        <x:v>Dữ liệu nghiệp vụ</x:v>
      </x:c>
      <x:c r="B23" s="54" t="str">
        <x:v>Văn bản QPPL</x:v>
      </x:c>
      <x:c r="C23" s="54" t="str">
        <x:v>/van-ban-qppl</x:v>
      </x:c>
      <x:c r="D23" s="54" t="str">
        <x:v>donvi.user</x:v>
      </x:c>
      <x:c r="E23" s="50" t="str">
        <x:v>Số/ký hiệu, tên văn bản và ngày ban hành phải hợp lệ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38" customHeight="1">
      <x:c r="A24" s="49" t="str">
        <x:v>Dữ liệu nghiệp vụ</x:v>
      </x:c>
      <x:c r="B24" s="54" t="str">
        <x:v>Giám sát SOC</x:v>
      </x:c>
      <x:c r="C24" s="54" t="str">
        <x:v>/giam-sat-soc</x:v>
      </x:c>
      <x:c r="D24" s="54" t="str">
        <x:v>donvi.user</x:v>
      </x:c>
      <x:c r="E24" s="50" t="str">
        <x:v>Thông tin giám sát an toàn thông tin phải hợp lệ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38" customHeight="1">
      <x:c r="A25" s="49" t="str">
        <x:v>Dữ liệu nghiệp vụ</x:v>
      </x:c>
      <x:c r="B25" s="54" t="str">
        <x:v>ATTT HTTT vận hành</x:v>
      </x:c>
      <x:c r="C25" s="54" t="str">
        <x:v>/attt-httt-van-hanh</x:v>
      </x:c>
      <x:c r="D25" s="54" t="str">
        <x:v>donvi.user</x:v>
      </x:c>
      <x:c r="E25" s="50" t="str">
        <x:v>Dữ liệu đánh giá hệ thống đang vận hành phải hợp lệ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38" customHeight="1">
      <x:c r="A26" s="49" t="str">
        <x:v>Dữ liệu nghiệp vụ</x:v>
      </x:c>
      <x:c r="B26" s="54" t="str">
        <x:v>ATTT HTTT đầu tư</x:v>
      </x:c>
      <x:c r="C26" s="54" t="str">
        <x:v>/attt-httt-dau-tu</x:v>
      </x:c>
      <x:c r="D26" s="54" t="str">
        <x:v>donvi.user</x:v>
      </x:c>
      <x:c r="E26" s="50" t="str">
        <x:v>Dữ liệu an toàn thông tin của dự án đầu tư phải hợp lệ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38" customHeight="1">
      <x:c r="A27" s="49" t="str">
        <x:v>Dữ liệu nghiệp vụ</x:v>
      </x:c>
      <x:c r="B27" s="54" t="str">
        <x:v>Giải pháp ATTT</x:v>
      </x:c>
      <x:c r="C27" s="54" t="str">
        <x:v>/giai-phap-attt</x:v>
      </x:c>
      <x:c r="D27" s="54" t="str">
        <x:v>donvi.user</x:v>
      </x:c>
      <x:c r="E27" s="50" t="str">
        <x:v>Tên/loại giải pháp và số liệu bắt buộc phải hợp lệ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38" customHeight="1">
      <x:c r="A28" s="51" t="str">
        <x:v>Dữ liệu nghiệp vụ</x:v>
      </x:c>
      <x:c r="B28" s="55" t="str">
        <x:v>HTTT tiêu chuẩn</x:v>
      </x:c>
      <x:c r="C28" s="55" t="str">
        <x:v>/he-thong-thong-tin</x:v>
      </x:c>
      <x:c r="D28" s="55" t="str">
        <x:v>donvi.user</x:v>
      </x:c>
      <x:c r="E28" s="52" t="str">
        <x:v>Kiểm tra phần tiêu chuẩn áp dụng trong hồ sơ hệ thống thông tin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</x:sheetData>
  <x:mergeCells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45F06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34" hidden="0" customWidth="1"/>
    <x:col min="4" max="4" width="23" hidden="0" customWidth="1"/>
    <x:col min="5" max="5" width="18" hidden="0" customWidth="1"/>
    <x:col min="6" max="6" width="10" hidden="0" customWidth="1"/>
    <x:col min="7" max="7" width="36" hidden="0" customWidth="1"/>
    <x:col min="8" max="8" width="48" hidden="0" customWidth="1"/>
    <x:col min="9" max="9" width="34" hidden="0" customWidth="1"/>
    <x:col min="10" max="10" width="52" hidden="0" customWidth="1"/>
    <x:col min="11" max="11" width="16" hidden="0" customWidth="1"/>
    <x:col min="12" max="12" width="20" hidden="0" customWidth="1"/>
    <x:col min="13" max="13" width="16" hidden="0" customWidth="1"/>
    <x:col min="14" max="14" width="42" hidden="0" customWidth="1"/>
    <x:col min="15" max="15" width="32" hidden="0" customWidth="1"/>
  </x:cols>
  <x:sheetData>
    <x:row r="1" ht="26" customHeight="1">
      <x:c r="A1" s="3" t="str">
        <x:v>Danh sách testcase UAT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2" customHeight="1">
      <x:c r="A2" s="5" t="str">
        <x:v>153 testcase · Lọc theo nhóm, vai trò, ưu tiên và trạng thái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9" t="str">
        <x:v>ID</x:v>
      </x:c>
      <x:c r="B4" s="29" t="str">
        <x:v>Nhóm chức năng</x:v>
      </x:c>
      <x:c r="C4" s="29" t="str">
        <x:v>Chức năng</x:v>
      </x:c>
      <x:c r="D4" s="29" t="str">
        <x:v>Vai trò/Tài khoản</x:v>
      </x:c>
      <x:c r="E4" s="29" t="str">
        <x:v>Loại kiểm thử</x:v>
      </x:c>
      <x:c r="F4" s="29" t="str">
        <x:v>Ưu tiên</x:v>
      </x:c>
      <x:c r="G4" s="29" t="str">
        <x:v>Tiền điều kiện</x:v>
      </x:c>
      <x:c r="H4" s="29" t="str">
        <x:v>Các bước thực hiện</x:v>
      </x:c>
      <x:c r="I4" s="29" t="str">
        <x:v>Dữ liệu kiểm thử</x:v>
      </x:c>
      <x:c r="J4" s="29" t="str">
        <x:v>Kết quả mong đợi</x:v>
      </x:c>
      <x:c r="K4" s="29" t="str">
        <x:v>Trạng thái</x:v>
      </x:c>
      <x:c r="L4" s="29" t="str">
        <x:v>Người kiểm thử</x:v>
      </x:c>
      <x:c r="M4" s="29" t="str">
        <x:v>Ngày kiểm thử</x:v>
      </x:c>
      <x:c r="N4" s="29" t="str">
        <x:v>Kết quả thực tế</x:v>
      </x:c>
      <x:c r="O4" s="29" t="str">
        <x:v>Mã lỗi/Ghi chú</x:v>
      </x:c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58" customHeight="1">
      <x:c r="A5" s="76" t="str">
        <x:v>TC-001</x:v>
      </x:c>
      <x:c r="B5" s="73" t="str">
        <x:v>Smoke</x:v>
      </x:c>
      <x:c r="C5" s="73" t="str">
        <x:v>Mở trang đăng nhập</x:v>
      </x:c>
      <x:c r="D5" s="73" t="str">
        <x:v>Không yêu cầu</x:v>
      </x:c>
      <x:c r="E5" s="73" t="str">
        <x:v>Smoke</x:v>
      </x:c>
      <x:c r="F5" s="79" t="str">
        <x:v>P0</x:v>
      </x:c>
      <x:c r="G5" s="73" t="str">
        <x:v>Máy trạm truy cập được mạng nội bộ</x:v>
      </x:c>
      <x:c r="H5" s="73" t="str">
        <x:v>1. Mở http://10.10.79.248:8081/login
2. Quan sát giao diện</x:v>
      </x:c>
      <x:c r="I5" s="73" t="str">
        <x:v>Không có</x:v>
      </x:c>
      <x:c r="J5" s="73" t="str">
        <x:v>Trang đăng nhập hiển thị đầy đủ, không có lỗi trắng trang hoặc lỗi tải tài nguyên</x:v>
      </x:c>
      <x:c r="K5" s="82" t="str">
        <x:v>Chưa chạy</x:v>
      </x:c>
      <x:c r="L5" s="82" t="str"/>
      <x:c r="M5" s="85"/>
      <x:c r="N5" s="73" t="str"/>
      <x:c r="O5" s="73" t="str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58" customHeight="1">
      <x:c r="A6" s="77" t="str">
        <x:v>TC-002</x:v>
      </x:c>
      <x:c r="B6" s="74" t="str">
        <x:v>Smoke</x:v>
      </x:c>
      <x:c r="C6" s="74" t="str">
        <x:v>Đăng nhập quản trị</x:v>
      </x:c>
      <x:c r="D6" s="74" t="str">
        <x:v>admin</x:v>
      </x:c>
      <x:c r="E6" s="74" t="str">
        <x:v>Smoke</x:v>
      </x:c>
      <x:c r="F6" s="80" t="str">
        <x:v>P0</x:v>
      </x:c>
      <x:c r="G6" s="74" t="str">
        <x:v>Tài khoản hoạt động</x:v>
      </x:c>
      <x:c r="H6" s="74" t="str">
        <x:v>1. Nhập tài khoản admin
2. Bấm Đăng nhập</x:v>
      </x:c>
      <x:c r="I6" s="74" t="str">
        <x:v>admin / Admin@123</x:v>
      </x:c>
      <x:c r="J6" s="74" t="str">
        <x:v>Đăng nhập thành công và chuyển tới Trang chủ</x:v>
      </x:c>
      <x:c r="K6" s="83" t="str">
        <x:v>Chưa chạy</x:v>
      </x:c>
      <x:c r="L6" s="83" t="str"/>
      <x:c r="M6" s="86"/>
      <x:c r="N6" s="74" t="str"/>
      <x:c r="O6" s="74" t="str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58" customHeight="1">
      <x:c r="A7" s="77" t="str">
        <x:v>TC-003</x:v>
      </x:c>
      <x:c r="B7" s="74" t="str">
        <x:v>Smoke</x:v>
      </x:c>
      <x:c r="C7" s="74" t="str">
        <x:v>Hiển thị dữ liệu Oracle</x:v>
      </x:c>
      <x:c r="D7" s="74" t="str">
        <x:v>admin</x:v>
      </x:c>
      <x:c r="E7" s="74" t="str">
        <x:v>Smoke</x:v>
      </x:c>
      <x:c r="F7" s="80" t="str">
        <x:v>P0</x:v>
      </x:c>
      <x:c r="G7" s="74" t="str">
        <x:v>Đã đăng nhập</x:v>
      </x:c>
      <x:c r="H7" s="74" t="str">
        <x:v>1. Mở Người dùng
2. Mở Đơn vị
3. Quan sát danh sách</x:v>
      </x:c>
      <x:c r="I7" s="74" t="str">
        <x:v>Dữ liệu đã khôi phục</x:v>
      </x:c>
      <x:c r="J7" s="74" t="str">
        <x:v>Danh sách tải thành công, có dữ liệu và không báo lỗi kết nối DB</x:v>
      </x:c>
      <x:c r="K7" s="83" t="str">
        <x:v>Chưa chạy</x:v>
      </x:c>
      <x:c r="L7" s="83" t="str"/>
      <x:c r="M7" s="86"/>
      <x:c r="N7" s="74" t="str"/>
      <x:c r="O7" s="74" t="str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58" customHeight="1">
      <x:c r="A8" s="77" t="str">
        <x:v>TC-004</x:v>
      </x:c>
      <x:c r="B8" s="74" t="str">
        <x:v>Smoke</x:v>
      </x:c>
      <x:c r="C8" s="74" t="str">
        <x:v>Tải file từ MinIO</x:v>
      </x:c>
      <x:c r="D8" s="74" t="str">
        <x:v>h05.viewer</x:v>
      </x:c>
      <x:c r="E8" s="74" t="str">
        <x:v>Smoke</x:v>
      </x:c>
      <x:c r="F8" s="80" t="str">
        <x:v>P0</x:v>
      </x:c>
      <x:c r="G8" s="74" t="str">
        <x:v>Bucket thuc-luc có dữ liệu</x:v>
      </x:c>
      <x:c r="H8" s="74" t="str">
        <x:v>1. Mở Tra cứu báo cáo
2. Chọn kỳ có báo cáo
3. Bấm xem PDF</x:v>
      </x:c>
      <x:c r="I8" s="74" t="str">
        <x:v>Báo cáo Dự án CNTT Quý 3 Năm 2026</x:v>
      </x:c>
      <x:c r="J8" s="74" t="str">
        <x:v>PDF được tải từ địa chỉ 10.10.79.248:9000 và hiển thị trong cửa sổ xem trước</x:v>
      </x:c>
      <x:c r="K8" s="83" t="str">
        <x:v>Chưa chạy</x:v>
      </x:c>
      <x:c r="L8" s="83" t="str"/>
      <x:c r="M8" s="86"/>
      <x:c r="N8" s="74" t="str"/>
      <x:c r="O8" s="74" t="str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58" customHeight="1">
      <x:c r="A9" s="77" t="str">
        <x:v>TC-005</x:v>
      </x:c>
      <x:c r="B9" s="74" t="str">
        <x:v>Smoke</x:v>
      </x:c>
      <x:c r="C9" s="74" t="str">
        <x:v>Xuất PDF qua Gotenberg</x:v>
      </x:c>
      <x:c r="D9" s="74" t="str">
        <x:v>h05.user</x:v>
      </x:c>
      <x:c r="E9" s="74" t="str">
        <x:v>Smoke</x:v>
      </x:c>
      <x:c r="F9" s="80" t="str">
        <x:v>P0</x:v>
      </x:c>
      <x:c r="G9" s="74" t="str">
        <x:v>Gotenberg và backend đang chạy</x:v>
      </x:c>
      <x:c r="H9" s="74" t="str">
        <x:v>1. Mở Tra cứu báo cáo
2. Chọn một báo cáo đã khóa
3. Bấm xuất PDF</x:v>
      </x:c>
      <x:c r="I9" s="74" t="str">
        <x:v>Báo cáo có dữ liệu</x:v>
      </x:c>
      <x:c r="J9" s="74" t="str">
        <x:v>Tạo/tải được file PDF hợp lệ, mở được và có nội dung báo cáo</x:v>
      </x:c>
      <x:c r="K9" s="83" t="str">
        <x:v>Chưa chạy</x:v>
      </x:c>
      <x:c r="L9" s="83" t="str"/>
      <x:c r="M9" s="86"/>
      <x:c r="N9" s="74" t="str"/>
      <x:c r="O9" s="74" t="str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58" customHeight="1">
      <x:c r="A10" s="77" t="str">
        <x:v>TC-006</x:v>
      </x:c>
      <x:c r="B10" s="74" t="str">
        <x:v>Smoke</x:v>
      </x:c>
      <x:c r="C10" s="74" t="str">
        <x:v>Xuất Excel</x:v>
      </x:c>
      <x:c r="D10" s="74" t="str">
        <x:v>h05.user</x:v>
      </x:c>
      <x:c r="E10" s="74" t="str">
        <x:v>Smoke</x:v>
      </x:c>
      <x:c r="F10" s="80" t="str">
        <x:v>P0</x:v>
      </x:c>
      <x:c r="G10" s="74" t="str">
        <x:v>Có báo cáo đã khóa</x:v>
      </x:c>
      <x:c r="H10" s="74" t="str">
        <x:v>1. Mở Tra cứu báo cáo
2. Bấm biểu tượng Excel
3. Mở file tải về</x:v>
      </x:c>
      <x:c r="I10" s="74" t="str">
        <x:v>Báo cáo có dữ liệu</x:v>
      </x:c>
      <x:c r="J10" s="74" t="str">
        <x:v>File .xlsx tải thành công, mở không lỗi và có dữ liệu đúng kỳ/đơn vị</x:v>
      </x:c>
      <x:c r="K10" s="83" t="str">
        <x:v>Chưa chạy</x:v>
      </x:c>
      <x:c r="L10" s="83" t="str"/>
      <x:c r="M10" s="86"/>
      <x:c r="N10" s="74" t="str"/>
      <x:c r="O10" s="74" t="str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58" customHeight="1">
      <x:c r="A11" s="77" t="str">
        <x:v>TC-007</x:v>
      </x:c>
      <x:c r="B11" s="74" t="str">
        <x:v>Smoke</x:v>
      </x:c>
      <x:c r="C11" s="74" t="str">
        <x:v>Làm mới trình duyệt</x:v>
      </x:c>
      <x:c r="D11" s="74" t="str">
        <x:v>donvi.user</x:v>
      </x:c>
      <x:c r="E11" s="74" t="str">
        <x:v>Smoke</x:v>
      </x:c>
      <x:c r="F11" s="80" t="str">
        <x:v>P0</x:v>
      </x:c>
      <x:c r="G11" s="74" t="str">
        <x:v>Đã đăng nhập</x:v>
      </x:c>
      <x:c r="H11" s="74" t="str">
        <x:v>1. Mở một màn hình nghiệp vụ
2. Nhấn Ctrl+F5</x:v>
      </x:c>
      <x:c r="I11" s="74" t="str">
        <x:v>Không có</x:v>
      </x:c>
      <x:c r="J11" s="74" t="str">
        <x:v>Phiên đăng nhập còn hợp lệ và màn hình tải lại bình thường</x:v>
      </x:c>
      <x:c r="K11" s="83" t="str">
        <x:v>Chưa chạy</x:v>
      </x:c>
      <x:c r="L11" s="83" t="str"/>
      <x:c r="M11" s="86"/>
      <x:c r="N11" s="74" t="str"/>
      <x:c r="O11" s="74" t="str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58" customHeight="1">
      <x:c r="A12" s="77" t="str">
        <x:v>TC-008</x:v>
      </x:c>
      <x:c r="B12" s="74" t="str">
        <x:v>Smoke</x:v>
      </x:c>
      <x:c r="C12" s="74" t="str">
        <x:v>Health backend</x:v>
      </x:c>
      <x:c r="D12" s="74" t="str">
        <x:v>Kỹ thuật</x:v>
      </x:c>
      <x:c r="E12" s="74" t="str">
        <x:v>Smoke</x:v>
      </x:c>
      <x:c r="F12" s="80" t="str">
        <x:v>P0</x:v>
      </x:c>
      <x:c r="G12" s="74" t="str">
        <x:v>Có quyền truy cập cổng 8080</x:v>
      </x:c>
      <x:c r="H12" s="74" t="str">
        <x:v>1. Mở endpoint /health
2. Kiểm tra danh sách check</x:v>
      </x:c>
      <x:c r="I12" s="74" t="str">
        <x:v>http://10.10.79.248:8080/health</x:v>
      </x:c>
      <x:c r="J12" s="74" t="str">
        <x:v>HTTP 200 và trạng thái tổng thể Healthy</x:v>
      </x:c>
      <x:c r="K12" s="83" t="str">
        <x:v>Chưa chạy</x:v>
      </x:c>
      <x:c r="L12" s="83" t="str"/>
      <x:c r="M12" s="86"/>
      <x:c r="N12" s="74" t="str"/>
      <x:c r="O12" s="74" t="str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58" customHeight="1">
      <x:c r="A13" s="77" t="str">
        <x:v>TC-009</x:v>
      </x:c>
      <x:c r="B13" s="74" t="str">
        <x:v>Xác thực</x:v>
      </x:c>
      <x:c r="C13" s="74" t="str">
        <x:v>Đăng nhập SYSTEM_ADMIN</x:v>
      </x:c>
      <x:c r="D13" s="74" t="str">
        <x:v>admin</x:v>
      </x:c>
      <x:c r="E13" s="74" t="str">
        <x:v>Positive</x:v>
      </x:c>
      <x:c r="F13" s="80" t="str">
        <x:v>P0</x:v>
      </x:c>
      <x:c r="G13" s="74" t="str">
        <x:v>Đã đăng xuất</x:v>
      </x:c>
      <x:c r="H13" s="74" t="str">
        <x:v>1. Mở trang đăng nhập
2. Nhập đúng tài khoản và mật khẩu
3. Bấm Đăng nhập</x:v>
      </x:c>
      <x:c r="I13" s="74" t="str">
        <x:v>admin / Admin@123</x:v>
      </x:c>
      <x:c r="J13" s="74" t="str">
        <x:v>Đăng nhập thành công; hồ sơ hiển thị đúng tài khoản và vai trò SYSTEM_ADMIN</x:v>
      </x:c>
      <x:c r="K13" s="83" t="str">
        <x:v>Chưa chạy</x:v>
      </x:c>
      <x:c r="L13" s="83" t="str"/>
      <x:c r="M13" s="86"/>
      <x:c r="N13" s="74" t="str"/>
      <x:c r="O13" s="74" t="str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58" customHeight="1">
      <x:c r="A14" s="77" t="str">
        <x:v>TC-010</x:v>
      </x:c>
      <x:c r="B14" s="74" t="str">
        <x:v>Xác thực</x:v>
      </x:c>
      <x:c r="C14" s="74" t="str">
        <x:v>Đăng nhập QUAN_LY</x:v>
      </x:c>
      <x:c r="D14" s="74" t="str">
        <x:v>h05.user</x:v>
      </x:c>
      <x:c r="E14" s="74" t="str">
        <x:v>Positive</x:v>
      </x:c>
      <x:c r="F14" s="80" t="str">
        <x:v>P0</x:v>
      </x:c>
      <x:c r="G14" s="74" t="str">
        <x:v>Đã đăng xuất</x:v>
      </x:c>
      <x:c r="H14" s="74" t="str">
        <x:v>1. Mở trang đăng nhập
2. Nhập đúng tài khoản và mật khẩu
3. Bấm Đăng nhập</x:v>
      </x:c>
      <x:c r="I14" s="74" t="str">
        <x:v>h05.user / H05User@123</x:v>
      </x:c>
      <x:c r="J14" s="74" t="str">
        <x:v>Đăng nhập thành công; hồ sơ hiển thị đúng tài khoản và vai trò QUAN_LY</x:v>
      </x:c>
      <x:c r="K14" s="83" t="str">
        <x:v>Chưa chạy</x:v>
      </x:c>
      <x:c r="L14" s="83" t="str"/>
      <x:c r="M14" s="86"/>
      <x:c r="N14" s="74" t="str"/>
      <x:c r="O14" s="74" t="str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58" customHeight="1">
      <x:c r="A15" s="77" t="str">
        <x:v>TC-011</x:v>
      </x:c>
      <x:c r="B15" s="74" t="str">
        <x:v>Xác thực</x:v>
      </x:c>
      <x:c r="C15" s="74" t="str">
        <x:v>Đăng nhập CAP_TINH</x:v>
      </x:c>
      <x:c r="D15" s="74" t="str">
        <x:v>donvi.user</x:v>
      </x:c>
      <x:c r="E15" s="74" t="str">
        <x:v>Positive</x:v>
      </x:c>
      <x:c r="F15" s="80" t="str">
        <x:v>P0</x:v>
      </x:c>
      <x:c r="G15" s="74" t="str">
        <x:v>Đã đăng xuất</x:v>
      </x:c>
      <x:c r="H15" s="74" t="str">
        <x:v>1. Mở trang đăng nhập
2. Nhập đúng tài khoản và mật khẩu
3. Bấm Đăng nhập</x:v>
      </x:c>
      <x:c r="I15" s="74" t="str">
        <x:v>donvi.user / DonViUser@123</x:v>
      </x:c>
      <x:c r="J15" s="74" t="str">
        <x:v>Đăng nhập thành công; hồ sơ hiển thị đúng tài khoản và vai trò CAP_TINH</x:v>
      </x:c>
      <x:c r="K15" s="83" t="str">
        <x:v>Chưa chạy</x:v>
      </x:c>
      <x:c r="L15" s="83" t="str"/>
      <x:c r="M15" s="86"/>
      <x:c r="N15" s="74" t="str"/>
      <x:c r="O15" s="74" t="str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58" customHeight="1">
      <x:c r="A16" s="77" t="str">
        <x:v>TC-012</x:v>
      </x:c>
      <x:c r="B16" s="74" t="str">
        <x:v>Xác thực</x:v>
      </x:c>
      <x:c r="C16" s="74" t="str">
        <x:v>Đăng nhập VIEWER</x:v>
      </x:c>
      <x:c r="D16" s="74" t="str">
        <x:v>viewer.user</x:v>
      </x:c>
      <x:c r="E16" s="74" t="str">
        <x:v>Positive</x:v>
      </x:c>
      <x:c r="F16" s="80" t="str">
        <x:v>P0</x:v>
      </x:c>
      <x:c r="G16" s="74" t="str">
        <x:v>Đã đăng xuất</x:v>
      </x:c>
      <x:c r="H16" s="74" t="str">
        <x:v>1. Mở trang đăng nhập
2. Nhập đúng tài khoản và mật khẩu
3. Bấm Đăng nhập</x:v>
      </x:c>
      <x:c r="I16" s="74" t="str">
        <x:v>viewer.user / ViewerUser@123</x:v>
      </x:c>
      <x:c r="J16" s="74" t="str">
        <x:v>Đăng nhập thành công; hồ sơ hiển thị đúng tài khoản và vai trò VIEWER</x:v>
      </x:c>
      <x:c r="K16" s="83" t="str">
        <x:v>Chưa chạy</x:v>
      </x:c>
      <x:c r="L16" s="83" t="str"/>
      <x:c r="M16" s="86"/>
      <x:c r="N16" s="74" t="str"/>
      <x:c r="O16" s="74" t="str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58" customHeight="1">
      <x:c r="A17" s="77" t="str">
        <x:v>TC-013</x:v>
      </x:c>
      <x:c r="B17" s="74" t="str">
        <x:v>Xác thực</x:v>
      </x:c>
      <x:c r="C17" s="74" t="str">
        <x:v>Đăng nhập LANH_DAO</x:v>
      </x:c>
      <x:c r="D17" s="74" t="str">
        <x:v>h05.viewer</x:v>
      </x:c>
      <x:c r="E17" s="74" t="str">
        <x:v>Positive</x:v>
      </x:c>
      <x:c r="F17" s="80" t="str">
        <x:v>P0</x:v>
      </x:c>
      <x:c r="G17" s="74" t="str">
        <x:v>Đã đăng xuất</x:v>
      </x:c>
      <x:c r="H17" s="74" t="str">
        <x:v>1. Mở trang đăng nhập
2. Nhập đúng tài khoản và mật khẩu
3. Bấm Đăng nhập</x:v>
      </x:c>
      <x:c r="I17" s="74" t="str">
        <x:v>h05.viewer / H05Viewer@123</x:v>
      </x:c>
      <x:c r="J17" s="74" t="str">
        <x:v>Đăng nhập thành công; hồ sơ hiển thị đúng tài khoản và vai trò LANH_DAO</x:v>
      </x:c>
      <x:c r="K17" s="83" t="str">
        <x:v>Chưa chạy</x:v>
      </x:c>
      <x:c r="L17" s="83" t="str"/>
      <x:c r="M17" s="86"/>
      <x:c r="N17" s="74" t="str"/>
      <x:c r="O17" s="74" t="str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58" customHeight="1">
      <x:c r="A18" s="77" t="str">
        <x:v>TC-014</x:v>
      </x:c>
      <x:c r="B18" s="74" t="str">
        <x:v>Xác thực</x:v>
      </x:c>
      <x:c r="C18" s="74" t="str">
        <x:v>Sai mật khẩu</x:v>
      </x:c>
      <x:c r="D18" s="74" t="str">
        <x:v>admin</x:v>
      </x:c>
      <x:c r="E18" s="74" t="str">
        <x:v>Negative</x:v>
      </x:c>
      <x:c r="F18" s="80" t="str">
        <x:v>P0</x:v>
      </x:c>
      <x:c r="G18" s="74" t="str">
        <x:v>Đã đăng xuất</x:v>
      </x:c>
      <x:c r="H18" s="74" t="str">
        <x:v>1. Nhập admin
2. Nhập mật khẩu sai
3. Bấm Đăng nhập</x:v>
      </x:c>
      <x:c r="I18" s="74" t="str">
        <x:v>Wrong@123</x:v>
      </x:c>
      <x:c r="J18" s="74" t="str">
        <x:v>Không đăng nhập; hiển thị thông báo sai tên đăng nhập hoặc mật khẩu và không tiết lộ tài khoản có tồn tại</x:v>
      </x:c>
      <x:c r="K18" s="83" t="str">
        <x:v>Chưa chạy</x:v>
      </x:c>
      <x:c r="L18" s="83" t="str"/>
      <x:c r="M18" s="86"/>
      <x:c r="N18" s="74" t="str"/>
      <x:c r="O18" s="74" t="str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58" customHeight="1">
      <x:c r="A19" s="77" t="str">
        <x:v>TC-015</x:v>
      </x:c>
      <x:c r="B19" s="74" t="str">
        <x:v>Xác thực</x:v>
      </x:c>
      <x:c r="C19" s="74" t="str">
        <x:v>Bỏ trống thông tin</x:v>
      </x:c>
      <x:c r="D19" s="74" t="str">
        <x:v>Không yêu cầu</x:v>
      </x:c>
      <x:c r="E19" s="74" t="str">
        <x:v>Negative</x:v>
      </x:c>
      <x:c r="F19" s="80" t="str">
        <x:v>P1</x:v>
      </x:c>
      <x:c r="G19" s="74" t="str">
        <x:v>Ở trang đăng nhập</x:v>
      </x:c>
      <x:c r="H19" s="74" t="str">
        <x:v>1. Để trống tên đăng nhập và mật khẩu
2. Bấm Đăng nhập</x:v>
      </x:c>
      <x:c r="I19" s="74" t="str">
        <x:v>Rỗng</x:v>
      </x:c>
      <x:c r="J19" s="74" t="str">
        <x:v>Hiển thị validation bắt buộc; không gửi đăng nhập thành công</x:v>
      </x:c>
      <x:c r="K19" s="83" t="str">
        <x:v>Chưa chạy</x:v>
      </x:c>
      <x:c r="L19" s="83" t="str"/>
      <x:c r="M19" s="86"/>
      <x:c r="N19" s="74" t="str"/>
      <x:c r="O19" s="74" t="str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58" customHeight="1">
      <x:c r="A20" s="77" t="str">
        <x:v>TC-016</x:v>
      </x:c>
      <x:c r="B20" s="74" t="str">
        <x:v>Xác thực</x:v>
      </x:c>
      <x:c r="C20" s="74" t="str">
        <x:v>Mật khẩu dưới 8 ký tự</x:v>
      </x:c>
      <x:c r="D20" s="74" t="str">
        <x:v>Không yêu cầu</x:v>
      </x:c>
      <x:c r="E20" s="74" t="str">
        <x:v>Boundary</x:v>
      </x:c>
      <x:c r="F20" s="80" t="str">
        <x:v>P1</x:v>
      </x:c>
      <x:c r="G20" s="74" t="str">
        <x:v>Ở trang đăng nhập</x:v>
      </x:c>
      <x:c r="H20" s="74" t="str">
        <x:v>1. Nhập tên tài khoản
2. Nhập mật khẩu 7 ký tự
3. Bấm Đăng nhập</x:v>
      </x:c>
      <x:c r="I20" s="74" t="str">
        <x:v>1234567</x:v>
      </x:c>
      <x:c r="J20" s="74" t="str">
        <x:v>Yêu cầu bị từ chối với thông báo phù hợp</x:v>
      </x:c>
      <x:c r="K20" s="83" t="str">
        <x:v>Chưa chạy</x:v>
      </x:c>
      <x:c r="L20" s="83" t="str"/>
      <x:c r="M20" s="86"/>
      <x:c r="N20" s="74" t="str"/>
      <x:c r="O20" s="74" t="str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58" customHeight="1">
      <x:c r="A21" s="77" t="str">
        <x:v>TC-017</x:v>
      </x:c>
      <x:c r="B21" s="74" t="str">
        <x:v>Xác thực</x:v>
      </x:c>
      <x:c r="C21" s="74" t="str">
        <x:v>Truy cập khi chưa đăng nhập</x:v>
      </x:c>
      <x:c r="D21" s="74" t="str">
        <x:v>Không yêu cầu</x:v>
      </x:c>
      <x:c r="E21" s="74" t="str">
        <x:v>Security</x:v>
      </x:c>
      <x:c r="F21" s="80" t="str">
        <x:v>P0</x:v>
      </x:c>
      <x:c r="G21" s="74" t="str">
        <x:v>Xóa token hoặc dùng cửa sổ ẩn danh</x:v>
      </x:c>
      <x:c r="H21" s="74" t="str">
        <x:v>1. Mở http://10.10.79.248:8081/nguoi-dung</x:v>
      </x:c>
      <x:c r="I21" s="74" t="str">
        <x:v>Không có token</x:v>
      </x:c>
      <x:c r="J21" s="74" t="str">
        <x:v>Ứng dụng chuyển về /login; không lộ dữ liệu trang được bảo vệ</x:v>
      </x:c>
      <x:c r="K21" s="83" t="str">
        <x:v>Chưa chạy</x:v>
      </x:c>
      <x:c r="L21" s="83" t="str"/>
      <x:c r="M21" s="86"/>
      <x:c r="N21" s="74" t="str"/>
      <x:c r="O21" s="74" t="str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58" customHeight="1">
      <x:c r="A22" s="77" t="str">
        <x:v>TC-018</x:v>
      </x:c>
      <x:c r="B22" s="74" t="str">
        <x:v>Xác thực</x:v>
      </x:c>
      <x:c r="C22" s="74" t="str">
        <x:v>Đăng xuất</x:v>
      </x:c>
      <x:c r="D22" s="74" t="str">
        <x:v>donvi.user</x:v>
      </x:c>
      <x:c r="E22" s="74" t="str">
        <x:v>Positive</x:v>
      </x:c>
      <x:c r="F22" s="80" t="str">
        <x:v>P0</x:v>
      </x:c>
      <x:c r="G22" s="74" t="str">
        <x:v>Đã đăng nhập</x:v>
      </x:c>
      <x:c r="H22" s="74" t="str">
        <x:v>1. Mở menu tài khoản
2. Chọn Đăng xuất
3. Dùng nút Back của trình duyệt</x:v>
      </x:c>
      <x:c r="I22" s="74" t="str">
        <x:v>Không có</x:v>
      </x:c>
      <x:c r="J22" s="74" t="str">
        <x:v>Token bị thu hồi; quay về login và không truy cập lại trang cũ</x:v>
      </x:c>
      <x:c r="K22" s="83" t="str">
        <x:v>Chưa chạy</x:v>
      </x:c>
      <x:c r="L22" s="83" t="str"/>
      <x:c r="M22" s="86"/>
      <x:c r="N22" s="74" t="str"/>
      <x:c r="O22" s="74" t="str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58" customHeight="1">
      <x:c r="A23" s="77" t="str">
        <x:v>TC-019</x:v>
      </x:c>
      <x:c r="B23" s="74" t="str">
        <x:v>Xác thực</x:v>
      </x:c>
      <x:c r="C23" s="74" t="str">
        <x:v>Đổi mật khẩu thành công</x:v>
      </x:c>
      <x:c r="D23" s="74" t="str">
        <x:v>donvi.user</x:v>
      </x:c>
      <x:c r="E23" s="74" t="str">
        <x:v>Positive</x:v>
      </x:c>
      <x:c r="F23" s="80" t="str">
        <x:v>P1</x:v>
      </x:c>
      <x:c r="G23" s="74" t="str">
        <x:v>Dùng tài khoản test riêng hoặc có kế hoạch khôi phục</x:v>
      </x:c>
      <x:c r="H23" s="74" t="str">
        <x:v>1. Mở Đổi mật khẩu
2. Nhập mật khẩu hiện tại và mật khẩu mới hợp lệ
3. Lưu
4. Đăng nhập bằng mật khẩu mới</x:v>
      </x:c>
      <x:c r="I23" s="74" t="str">
        <x:v>Mật khẩu mới ít nhất 8 ký tự</x:v>
      </x:c>
      <x:c r="J23" s="74" t="str">
        <x:v>Đổi thành công; mật khẩu cũ hết hiệu lực và mật khẩu mới đăng nhập được</x:v>
      </x:c>
      <x:c r="K23" s="83" t="str">
        <x:v>Chưa chạy</x:v>
      </x:c>
      <x:c r="L23" s="83" t="str"/>
      <x:c r="M23" s="86"/>
      <x:c r="N23" s="74" t="str"/>
      <x:c r="O23" s="74" t="str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58" customHeight="1">
      <x:c r="A24" s="77" t="str">
        <x:v>TC-020</x:v>
      </x:c>
      <x:c r="B24" s="74" t="str">
        <x:v>Xác thực</x:v>
      </x:c>
      <x:c r="C24" s="74" t="str">
        <x:v>Đổi mật khẩu sai mật khẩu cũ</x:v>
      </x:c>
      <x:c r="D24" s="74" t="str">
        <x:v>donvi.user</x:v>
      </x:c>
      <x:c r="E24" s="74" t="str">
        <x:v>Negative</x:v>
      </x:c>
      <x:c r="F24" s="80" t="str">
        <x:v>P1</x:v>
      </x:c>
      <x:c r="G24" s="74" t="str">
        <x:v>Đã đăng nhập</x:v>
      </x:c>
      <x:c r="H24" s="74" t="str">
        <x:v>1. Mở Đổi mật khẩu
2. Nhập sai mật khẩu hiện tại
3. Lưu</x:v>
      </x:c>
      <x:c r="I24" s="74" t="str">
        <x:v>Old password sai</x:v>
      </x:c>
      <x:c r="J24" s="74" t="str">
        <x:v>Không thay đổi mật khẩu và hiển thị thông báo phù hợp</x:v>
      </x:c>
      <x:c r="K24" s="83" t="str">
        <x:v>Chưa chạy</x:v>
      </x:c>
      <x:c r="L24" s="83" t="str"/>
      <x:c r="M24" s="86"/>
      <x:c r="N24" s="74" t="str"/>
      <x:c r="O24" s="74" t="str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58" customHeight="1">
      <x:c r="A25" s="77" t="str">
        <x:v>TC-021</x:v>
      </x:c>
      <x:c r="B25" s="74" t="str">
        <x:v>Xác thực</x:v>
      </x:c>
      <x:c r="C25" s="74" t="str">
        <x:v>Phiên đăng nhập hết hạn</x:v>
      </x:c>
      <x:c r="D25" s="74" t="str">
        <x:v>donvi.user</x:v>
      </x:c>
      <x:c r="E25" s="74" t="str">
        <x:v>Security</x:v>
      </x:c>
      <x:c r="F25" s="80" t="str">
        <x:v>P1</x:v>
      </x:c>
      <x:c r="G25" s="74" t="str">
        <x:v>Có thể dùng token hết hạn hoặc chờ hết phiên</x:v>
      </x:c>
      <x:c r="H25" s="74" t="str">
        <x:v>1. Gọi một chức năng sau khi token hết hạn</x:v>
      </x:c>
      <x:c r="I25" s="74" t="str">
        <x:v>Token hết hạn</x:v>
      </x:c>
      <x:c r="J25" s="74" t="str">
        <x:v>Ứng dụng thông báo phiên hết hạn, xóa phiên cũ và chuyển về login</x:v>
      </x:c>
      <x:c r="K25" s="83" t="str">
        <x:v>Chưa chạy</x:v>
      </x:c>
      <x:c r="L25" s="83" t="str"/>
      <x:c r="M25" s="86"/>
      <x:c r="N25" s="74" t="str"/>
      <x:c r="O25" s="74" t="str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58" customHeight="1">
      <x:c r="A26" s="77" t="str">
        <x:v>TC-022</x:v>
      </x:c>
      <x:c r="B26" s="74" t="str">
        <x:v>Xác thực</x:v>
      </x:c>
      <x:c r="C26" s="74" t="str">
        <x:v>Thông tin tài khoản</x:v>
      </x:c>
      <x:c r="D26" s="74" t="str">
        <x:v>Tất cả</x:v>
      </x:c>
      <x:c r="E26" s="74" t="str">
        <x:v>Positive</x:v>
      </x:c>
      <x:c r="F26" s="80" t="str">
        <x:v>P2</x:v>
      </x:c>
      <x:c r="G26" s="74" t="str">
        <x:v>Đã đăng nhập</x:v>
      </x:c>
      <x:c r="H26" s="74" t="str">
        <x:v>1. Mở Thông tin tài khoản</x:v>
      </x:c>
      <x:c r="I26" s="74" t="str">
        <x:v>Không có</x:v>
      </x:c>
      <x:c r="J26" s="74" t="str">
        <x:v>Hiển thị đúng họ tên, username, đơn vị và vai trò của tài khoản hiện tại</x:v>
      </x:c>
      <x:c r="K26" s="83" t="str">
        <x:v>Chưa chạy</x:v>
      </x:c>
      <x:c r="L26" s="83" t="str"/>
      <x:c r="M26" s="86"/>
      <x:c r="N26" s="74" t="str"/>
      <x:c r="O26" s="74" t="str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58" customHeight="1">
      <x:c r="A27" s="77" t="str">
        <x:v>TC-023</x:v>
      </x:c>
      <x:c r="B27" s="74" t="str">
        <x:v>Phân quyền</x:v>
      </x:c>
      <x:c r="C27" s="74" t="str">
        <x:v>Menu quản trị của SYSTEM_ADMIN</x:v>
      </x:c>
      <x:c r="D27" s="74" t="str">
        <x:v>admin</x:v>
      </x:c>
      <x:c r="E27" s="74" t="str">
        <x:v>Authorization</x:v>
      </x:c>
      <x:c r="F27" s="80" t="str">
        <x:v>P0</x:v>
      </x:c>
      <x:c r="G27" s="74" t="str">
        <x:v>Đăng nhập admin</x:v>
      </x:c>
      <x:c r="H27" s="74" t="str">
        <x:v>1. Quan sát menu Quản trị hệ thống
2. Mở Người dùng, Vai trò, Quyền, Phân quyền</x:v>
      </x:c>
      <x:c r="I27" s="74" t="str">
        <x:v>Không có</x:v>
      </x:c>
      <x:c r="J27" s="74" t="str">
        <x:v>Các mục quản trị được hiển thị và truy cập được</x:v>
      </x:c>
      <x:c r="K27" s="83" t="str">
        <x:v>Chưa chạy</x:v>
      </x:c>
      <x:c r="L27" s="83" t="str"/>
      <x:c r="M27" s="86"/>
      <x:c r="N27" s="74" t="str"/>
      <x:c r="O27" s="74" t="str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58" customHeight="1">
      <x:c r="A28" s="77" t="str">
        <x:v>TC-024</x:v>
      </x:c>
      <x:c r="B28" s="74" t="str">
        <x:v>Phân quyền</x:v>
      </x:c>
      <x:c r="C28" s="74" t="str">
        <x:v>Quyền quản lý báo cáo</x:v>
      </x:c>
      <x:c r="D28" s="74" t="str">
        <x:v>h05.user</x:v>
      </x:c>
      <x:c r="E28" s="74" t="str">
        <x:v>Authorization</x:v>
      </x:c>
      <x:c r="F28" s="80" t="str">
        <x:v>P0</x:v>
      </x:c>
      <x:c r="G28" s="74" t="str">
        <x:v>Đăng nhập h05.user</x:v>
      </x:c>
      <x:c r="H28" s="74" t="str">
        <x:v>1. Quan sát nhóm Báo cáo
2. Mở Kỳ báo cáo, Mẫu báo cáo, Tiến độ</x:v>
      </x:c>
      <x:c r="I28" s="74" t="str">
        <x:v>Không có</x:v>
      </x:c>
      <x:c r="J28" s="74" t="str">
        <x:v>Các chức năng quản lý được hiển thị theo quyền QUAN_LY</x:v>
      </x:c>
      <x:c r="K28" s="83" t="str">
        <x:v>Chưa chạy</x:v>
      </x:c>
      <x:c r="L28" s="83" t="str"/>
      <x:c r="M28" s="86"/>
      <x:c r="N28" s="74" t="str"/>
      <x:c r="O28" s="74" t="str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58" customHeight="1">
      <x:c r="A29" s="77" t="str">
        <x:v>TC-025</x:v>
      </x:c>
      <x:c r="B29" s="74" t="str">
        <x:v>Phân quyền</x:v>
      </x:c>
      <x:c r="C29" s="74" t="str">
        <x:v>Phạm vi đơn vị Hà Nội</x:v>
      </x:c>
      <x:c r="D29" s="74" t="str">
        <x:v>donvi.user</x:v>
      </x:c>
      <x:c r="E29" s="74" t="str">
        <x:v>Authorization</x:v>
      </x:c>
      <x:c r="F29" s="80" t="str">
        <x:v>P0</x:v>
      </x:c>
      <x:c r="G29" s="74" t="str">
        <x:v>Đăng nhập donvi.user</x:v>
      </x:c>
      <x:c r="H29" s="74" t="str">
        <x:v>1. Mở màn hình nghiệp vụ
2. Tìm dữ liệu của Hà Nội
3. Thử truy cập dữ liệu đơn vị ngoài phạm vi</x:v>
      </x:c>
      <x:c r="I29" s="74" t="str">
        <x:v>Hà Nội và Đà Nẵng</x:v>
      </x:c>
      <x:c r="J29" s="74" t="str">
        <x:v>Được xem/sửa dữ liệu Hà Nội; không xem hoặc sửa dữ liệu ngoài phạm vi</x:v>
      </x:c>
      <x:c r="K29" s="83" t="str">
        <x:v>Chưa chạy</x:v>
      </x:c>
      <x:c r="L29" s="83" t="str"/>
      <x:c r="M29" s="86"/>
      <x:c r="N29" s="74" t="str"/>
      <x:c r="O29" s="74" t="str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58" customHeight="1">
      <x:c r="A30" s="77" t="str">
        <x:v>TC-026</x:v>
      </x:c>
      <x:c r="B30" s="74" t="str">
        <x:v>Phân quyền</x:v>
      </x:c>
      <x:c r="C30" s="74" t="str">
        <x:v>VIEWER chỉ đọc</x:v>
      </x:c>
      <x:c r="D30" s="74" t="str">
        <x:v>viewer.user</x:v>
      </x:c>
      <x:c r="E30" s="74" t="str">
        <x:v>Authorization</x:v>
      </x:c>
      <x:c r="F30" s="80" t="str">
        <x:v>P0</x:v>
      </x:c>
      <x:c r="G30" s="74" t="str">
        <x:v>Đăng nhập viewer.user</x:v>
      </x:c>
      <x:c r="H30" s="74" t="str">
        <x:v>1. Mở Tra cứu báo cáo
2. Quan sát các nút thao tác
3. Thử mở trực tiếp URL nhập liệu</x:v>
      </x:c>
      <x:c r="I30" s="74" t="str">
        <x:v>Không có</x:v>
      </x:c>
      <x:c r="J30" s="74" t="str">
        <x:v>Được xem/xuất theo quyền; không có nút tạo/sửa/xóa và thao tác trái quyền bị từ chối</x:v>
      </x:c>
      <x:c r="K30" s="83" t="str">
        <x:v>Chưa chạy</x:v>
      </x:c>
      <x:c r="L30" s="83" t="str"/>
      <x:c r="M30" s="86"/>
      <x:c r="N30" s="74" t="str"/>
      <x:c r="O30" s="74" t="str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58" customHeight="1">
      <x:c r="A31" s="77" t="str">
        <x:v>TC-027</x:v>
      </x:c>
      <x:c r="B31" s="74" t="str">
        <x:v>Phân quyền</x:v>
      </x:c>
      <x:c r="C31" s="74" t="str">
        <x:v>LANH_DAO tra cứu</x:v>
      </x:c>
      <x:c r="D31" s="74" t="str">
        <x:v>h05.viewer</x:v>
      </x:c>
      <x:c r="E31" s="74" t="str">
        <x:v>Authorization</x:v>
      </x:c>
      <x:c r="F31" s="80" t="str">
        <x:v>P0</x:v>
      </x:c>
      <x:c r="G31" s="74" t="str">
        <x:v>Đăng nhập h05.viewer</x:v>
      </x:c>
      <x:c r="H31" s="74" t="str">
        <x:v>1. Mở Tra cứu báo cáo
2. Lọc theo kỳ và đơn vị
3. Xuất file</x:v>
      </x:c>
      <x:c r="I31" s="74" t="str">
        <x:v>Kỳ có dữ liệu</x:v>
      </x:c>
      <x:c r="J31" s="74" t="str">
        <x:v>Xem và xuất được báo cáo trong phạm vi; không sửa dữ liệu nghiệp vụ</x:v>
      </x:c>
      <x:c r="K31" s="83" t="str">
        <x:v>Chưa chạy</x:v>
      </x:c>
      <x:c r="L31" s="83" t="str"/>
      <x:c r="M31" s="86"/>
      <x:c r="N31" s="74" t="str"/>
      <x:c r="O31" s="74" t="str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58" customHeight="1">
      <x:c r="A32" s="77" t="str">
        <x:v>TC-028</x:v>
      </x:c>
      <x:c r="B32" s="74" t="str">
        <x:v>Phân quyền</x:v>
      </x:c>
      <x:c r="C32" s="74" t="str">
        <x:v>Gọi URL trực tiếp không có quyền</x:v>
      </x:c>
      <x:c r="D32" s="74" t="str">
        <x:v>viewer.user</x:v>
      </x:c>
      <x:c r="E32" s="74" t="str">
        <x:v>Security</x:v>
      </x:c>
      <x:c r="F32" s="80" t="str">
        <x:v>P0</x:v>
      </x:c>
      <x:c r="G32" s="74" t="str">
        <x:v>Đăng nhập viewer.user</x:v>
      </x:c>
      <x:c r="H32" s="74" t="str">
        <x:v>1. Nhập trực tiếp URL /nguoi-dung
2. Quan sát kết quả</x:v>
      </x:c>
      <x:c r="I32" s="74" t="str">
        <x:v>URL chức năng quản trị</x:v>
      </x:c>
      <x:c r="J32" s="74" t="str">
        <x:v>Ứng dụng hiển thị Không có quyền hoặc chuyển trang phù hợp; API không trả dữ liệu</x:v>
      </x:c>
      <x:c r="K32" s="83" t="str">
        <x:v>Chưa chạy</x:v>
      </x:c>
      <x:c r="L32" s="83" t="str"/>
      <x:c r="M32" s="86"/>
      <x:c r="N32" s="74" t="str"/>
      <x:c r="O32" s="74" t="str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58" customHeight="1">
      <x:c r="A33" s="77" t="str">
        <x:v>TC-029</x:v>
      </x:c>
      <x:c r="B33" s="74" t="str">
        <x:v>Phân quyền</x:v>
      </x:c>
      <x:c r="C33" s="74" t="str">
        <x:v>Ẩn menu theo quyền</x:v>
      </x:c>
      <x:c r="D33" s="74" t="str">
        <x:v>viewer.user</x:v>
      </x:c>
      <x:c r="E33" s="74" t="str">
        <x:v>Authorization</x:v>
      </x:c>
      <x:c r="F33" s="80" t="str">
        <x:v>P1</x:v>
      </x:c>
      <x:c r="G33" s="74" t="str">
        <x:v>Đăng nhập viewer.user</x:v>
      </x:c>
      <x:c r="H33" s="74" t="str">
        <x:v>1. Mở toàn bộ nhóm menu
2. Đối chiếu với vai trò</x:v>
      </x:c>
      <x:c r="I33" s="74" t="str">
        <x:v>Không có</x:v>
      </x:c>
      <x:c r="J33" s="74" t="str">
        <x:v>Chỉ hiện các chức năng có quyền; không có menu quản trị hoặc nhập liệu</x:v>
      </x:c>
      <x:c r="K33" s="83" t="str">
        <x:v>Chưa chạy</x:v>
      </x:c>
      <x:c r="L33" s="83" t="str"/>
      <x:c r="M33" s="86"/>
      <x:c r="N33" s="74" t="str"/>
      <x:c r="O33" s="74" t="str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58" customHeight="1">
      <x:c r="A34" s="77" t="str">
        <x:v>TC-030</x:v>
      </x:c>
      <x:c r="B34" s="74" t="str">
        <x:v>Phân quyền</x:v>
      </x:c>
      <x:c r="C34" s="74" t="str">
        <x:v>Cách ly dữ liệu giữa hai đơn vị</x:v>
      </x:c>
      <x:c r="D34" s="74" t="str">
        <x:v>donvi.user</x:v>
      </x:c>
      <x:c r="E34" s="74" t="str">
        <x:v>Security</x:v>
      </x:c>
      <x:c r="F34" s="80" t="str">
        <x:v>P0</x:v>
      </x:c>
      <x:c r="G34" s="74" t="str">
        <x:v>Có dữ liệu Hà Nội và Đà Nẵng</x:v>
      </x:c>
      <x:c r="H34" s="74" t="str">
        <x:v>1. Ghi nhận một ID thuộc Đà Nẵng bằng tài khoản quản lý
2. Đăng nhập donvi.user
3. Thử mở ID đó qua URL/API</x:v>
      </x:c>
      <x:c r="I34" s="74" t="str">
        <x:v>ID ngoài phạm vi</x:v>
      </x:c>
      <x:c r="J34" s="74" t="str">
        <x:v>Trả 403 hoặc 404; không lộ chi tiết bản ghi ngoài phạm vi</x:v>
      </x:c>
      <x:c r="K34" s="83" t="str">
        <x:v>Chưa chạy</x:v>
      </x:c>
      <x:c r="L34" s="83" t="str"/>
      <x:c r="M34" s="86"/>
      <x:c r="N34" s="74" t="str"/>
      <x:c r="O34" s="74" t="str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58" customHeight="1">
      <x:c r="A35" s="77" t="str">
        <x:v>TC-031</x:v>
      </x:c>
      <x:c r="B35" s="74" t="str">
        <x:v>Quản trị</x:v>
      </x:c>
      <x:c r="C35" s="74" t="str">
        <x:v>Danh sách người dùng</x:v>
      </x:c>
      <x:c r="D35" s="74" t="str">
        <x:v>admin</x:v>
      </x:c>
      <x:c r="E35" s="74" t="str">
        <x:v>Positive</x:v>
      </x:c>
      <x:c r="F35" s="80" t="str">
        <x:v>P0</x:v>
      </x:c>
      <x:c r="G35" s="74" t="str">
        <x:v>Đăng nhập admin</x:v>
      </x:c>
      <x:c r="H35" s="74" t="str">
        <x:v>1. Mở Người dùng
2. Tìm kiếm admin</x:v>
      </x:c>
      <x:c r="I35" s="74" t="str">
        <x:v>admin</x:v>
      </x:c>
      <x:c r="J35" s="74" t="str">
        <x:v>Danh sách hiển thị đúng thông tin, trạng thái và đơn vị</x:v>
      </x:c>
      <x:c r="K35" s="83" t="str">
        <x:v>Chưa chạy</x:v>
      </x:c>
      <x:c r="L35" s="83" t="str"/>
      <x:c r="M35" s="86"/>
      <x:c r="N35" s="74" t="str"/>
      <x:c r="O35" s="74" t="str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58" customHeight="1">
      <x:c r="A36" s="77" t="str">
        <x:v>TC-032</x:v>
      </x:c>
      <x:c r="B36" s="74" t="str">
        <x:v>Quản trị</x:v>
      </x:c>
      <x:c r="C36" s="74" t="str">
        <x:v>Tạo người dùng</x:v>
      </x:c>
      <x:c r="D36" s="74" t="str">
        <x:v>admin</x:v>
      </x:c>
      <x:c r="E36" s="74" t="str">
        <x:v>Positive</x:v>
      </x:c>
      <x:c r="F36" s="80" t="str">
        <x:v>P1</x:v>
      </x:c>
      <x:c r="G36" s="74" t="str">
        <x:v>Có đơn vị và vai trò phù hợp</x:v>
      </x:c>
      <x:c r="H36" s="74" t="str">
        <x:v>1. Bấm Thêm người dùng
2. Nhập dữ liệu hợp lệ
3. Lưu
4. Đăng nhập thử</x:v>
      </x:c>
      <x:c r="I36" s="74" t="str">
        <x:v>uat.user / UatUser@123</x:v>
      </x:c>
      <x:c r="J36" s="74" t="str">
        <x:v>Tạo thành công, xuất hiện trong danh sách và đăng nhập được</x:v>
      </x:c>
      <x:c r="K36" s="83" t="str">
        <x:v>Chưa chạy</x:v>
      </x:c>
      <x:c r="L36" s="83" t="str"/>
      <x:c r="M36" s="86"/>
      <x:c r="N36" s="74" t="str"/>
      <x:c r="O36" s="74" t="str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58" customHeight="1">
      <x:c r="A37" s="77" t="str">
        <x:v>TC-033</x:v>
      </x:c>
      <x:c r="B37" s="74" t="str">
        <x:v>Quản trị</x:v>
      </x:c>
      <x:c r="C37" s="74" t="str">
        <x:v>Trùng tên đăng nhập</x:v>
      </x:c>
      <x:c r="D37" s="74" t="str">
        <x:v>admin</x:v>
      </x:c>
      <x:c r="E37" s="74" t="str">
        <x:v>Negative</x:v>
      </x:c>
      <x:c r="F37" s="80" t="str">
        <x:v>P1</x:v>
      </x:c>
      <x:c r="G37" s="74" t="str">
        <x:v>Đã có tài khoản admin</x:v>
      </x:c>
      <x:c r="H37" s="74" t="str">
        <x:v>1. Tạo người dùng mới với username admin
2. Lưu</x:v>
      </x:c>
      <x:c r="I37" s="74" t="str">
        <x:v>admin</x:v>
      </x:c>
      <x:c r="J37" s="74" t="str">
        <x:v>Không tạo; thông báo tên đăng nhập đã tồn tại</x:v>
      </x:c>
      <x:c r="K37" s="83" t="str">
        <x:v>Chưa chạy</x:v>
      </x:c>
      <x:c r="L37" s="83" t="str"/>
      <x:c r="M37" s="86"/>
      <x:c r="N37" s="74" t="str"/>
      <x:c r="O37" s="74" t="str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58" customHeight="1">
      <x:c r="A38" s="77" t="str">
        <x:v>TC-034</x:v>
      </x:c>
      <x:c r="B38" s="74" t="str">
        <x:v>Quản trị</x:v>
      </x:c>
      <x:c r="C38" s="74" t="str">
        <x:v>Mật khẩu người dùng không hợp lệ</x:v>
      </x:c>
      <x:c r="D38" s="74" t="str">
        <x:v>admin</x:v>
      </x:c>
      <x:c r="E38" s="74" t="str">
        <x:v>Boundary</x:v>
      </x:c>
      <x:c r="F38" s="80" t="str">
        <x:v>P1</x:v>
      </x:c>
      <x:c r="G38" s="74" t="str">
        <x:v>Mở form tạo người dùng</x:v>
      </x:c>
      <x:c r="H38" s="74" t="str">
        <x:v>1. Nhập mật khẩu dưới độ dài tối thiểu
2. Lưu</x:v>
      </x:c>
      <x:c r="I38" s="74" t="str">
        <x:v>1234567</x:v>
      </x:c>
      <x:c r="J38" s="74" t="str">
        <x:v>Không tạo người dùng và hiển thị validation</x:v>
      </x:c>
      <x:c r="K38" s="83" t="str">
        <x:v>Chưa chạy</x:v>
      </x:c>
      <x:c r="L38" s="83" t="str"/>
      <x:c r="M38" s="86"/>
      <x:c r="N38" s="74" t="str"/>
      <x:c r="O38" s="74" t="str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58" customHeight="1">
      <x:c r="A39" s="77" t="str">
        <x:v>TC-035</x:v>
      </x:c>
      <x:c r="B39" s="74" t="str">
        <x:v>Quản trị</x:v>
      </x:c>
      <x:c r="C39" s="74" t="str">
        <x:v>Cập nhật người dùng</x:v>
      </x:c>
      <x:c r="D39" s="74" t="str">
        <x:v>admin</x:v>
      </x:c>
      <x:c r="E39" s="74" t="str">
        <x:v>Positive</x:v>
      </x:c>
      <x:c r="F39" s="80" t="str">
        <x:v>P1</x:v>
      </x:c>
      <x:c r="G39" s="74" t="str">
        <x:v>Có tài khoản UAT</x:v>
      </x:c>
      <x:c r="H39" s="74" t="str">
        <x:v>1. Mở sửa tài khoản
2. Đổi họ tên/đơn vị/trạng thái
3. Lưu
4. Tải lại</x:v>
      </x:c>
      <x:c r="I39" s="74" t="str">
        <x:v>Dữ liệu hậu tố UAT</x:v>
      </x:c>
      <x:c r="J39" s="74" t="str">
        <x:v>Thông tin cập nhật được lưu và hiển thị đúng sau khi tải lại</x:v>
      </x:c>
      <x:c r="K39" s="83" t="str">
        <x:v>Chưa chạy</x:v>
      </x:c>
      <x:c r="L39" s="83" t="str"/>
      <x:c r="M39" s="86"/>
      <x:c r="N39" s="74" t="str"/>
      <x:c r="O39" s="74" t="str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58" customHeight="1">
      <x:c r="A40" s="77" t="str">
        <x:v>TC-036</x:v>
      </x:c>
      <x:c r="B40" s="74" t="str">
        <x:v>Quản trị</x:v>
      </x:c>
      <x:c r="C40" s="74" t="str">
        <x:v>Danh sách vai trò</x:v>
      </x:c>
      <x:c r="D40" s="74" t="str">
        <x:v>admin</x:v>
      </x:c>
      <x:c r="E40" s="74" t="str">
        <x:v>Positive</x:v>
      </x:c>
      <x:c r="F40" s="80" t="str">
        <x:v>P1</x:v>
      </x:c>
      <x:c r="G40" s="74" t="str">
        <x:v>Đăng nhập admin</x:v>
      </x:c>
      <x:c r="H40" s="74" t="str">
        <x:v>1. Mở Vai trò
2. Tìm SYSTEM_ADMIN và các vai trò nghiệp vụ</x:v>
      </x:c>
      <x:c r="I40" s="74" t="str">
        <x:v>Không có</x:v>
      </x:c>
      <x:c r="J40" s="74" t="str">
        <x:v>Hiển thị đầy đủ vai trò hệ thống và vai trò nghiệp vụ</x:v>
      </x:c>
      <x:c r="K40" s="83" t="str">
        <x:v>Chưa chạy</x:v>
      </x:c>
      <x:c r="L40" s="83" t="str"/>
      <x:c r="M40" s="86"/>
      <x:c r="N40" s="74" t="str"/>
      <x:c r="O40" s="74" t="str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58" customHeight="1">
      <x:c r="A41" s="77" t="str">
        <x:v>TC-037</x:v>
      </x:c>
      <x:c r="B41" s="74" t="str">
        <x:v>Quản trị</x:v>
      </x:c>
      <x:c r="C41" s="74" t="str">
        <x:v>Tạo vai trò mới</x:v>
      </x:c>
      <x:c r="D41" s="74" t="str">
        <x:v>admin</x:v>
      </x:c>
      <x:c r="E41" s="74" t="str">
        <x:v>Positive</x:v>
      </x:c>
      <x:c r="F41" s="80" t="str">
        <x:v>P1</x:v>
      </x:c>
      <x:c r="G41" s="74" t="str">
        <x:v>Đăng nhập admin</x:v>
      </x:c>
      <x:c r="H41" s="74" t="str">
        <x:v>1. Bấm Thêm vai trò
2. Nhập mã/tên hợp lệ
3. Chọn quyền
4. Lưu</x:v>
      </x:c>
      <x:c r="I41" s="74" t="str">
        <x:v>UAT_TESTER</x:v>
      </x:c>
      <x:c r="J41" s="74" t="str">
        <x:v>Vai trò được tạo và có đúng quyền đã chọn</x:v>
      </x:c>
      <x:c r="K41" s="83" t="str">
        <x:v>Chưa chạy</x:v>
      </x:c>
      <x:c r="L41" s="83" t="str"/>
      <x:c r="M41" s="86"/>
      <x:c r="N41" s="74" t="str"/>
      <x:c r="O41" s="74" t="str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58" customHeight="1">
      <x:c r="A42" s="77" t="str">
        <x:v>TC-038</x:v>
      </x:c>
      <x:c r="B42" s="74" t="str">
        <x:v>Quản trị</x:v>
      </x:c>
      <x:c r="C42" s="74" t="str">
        <x:v>Bảo vệ vai trò hệ thống</x:v>
      </x:c>
      <x:c r="D42" s="74" t="str">
        <x:v>admin</x:v>
      </x:c>
      <x:c r="E42" s="74" t="str">
        <x:v>Security</x:v>
      </x:c>
      <x:c r="F42" s="80" t="str">
        <x:v>P0</x:v>
      </x:c>
      <x:c r="G42" s="74" t="str">
        <x:v>Vai trò SYSTEM_ADMIN tồn tại</x:v>
      </x:c>
      <x:c r="H42" s="74" t="str">
        <x:v>1. Mở sửa SYSTEM_ADMIN
2. Thử bỏ quyền system:admin hoặc thay đổi trái quy tắc
3. Lưu</x:v>
      </x:c>
      <x:c r="I42" s="74" t="str">
        <x:v>SYSTEM_ADMIN</x:v>
      </x:c>
      <x:c r="J42" s="74" t="str">
        <x:v>Hệ thống từ chối thay đổi làm mất quyền quản trị lõi</x:v>
      </x:c>
      <x:c r="K42" s="83" t="str">
        <x:v>Chưa chạy</x:v>
      </x:c>
      <x:c r="L42" s="83" t="str"/>
      <x:c r="M42" s="86"/>
      <x:c r="N42" s="74" t="str"/>
      <x:c r="O42" s="74" t="str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58" customHeight="1">
      <x:c r="A43" s="77" t="str">
        <x:v>TC-039</x:v>
      </x:c>
      <x:c r="B43" s="74" t="str">
        <x:v>Quản trị</x:v>
      </x:c>
      <x:c r="C43" s="74" t="str">
        <x:v>Phân vai trò cho người dùng</x:v>
      </x:c>
      <x:c r="D43" s="74" t="str">
        <x:v>admin</x:v>
      </x:c>
      <x:c r="E43" s="74" t="str">
        <x:v>Positive</x:v>
      </x:c>
      <x:c r="F43" s="80" t="str">
        <x:v>P1</x:v>
      </x:c>
      <x:c r="G43" s="74" t="str">
        <x:v>Có user và role UAT</x:v>
      </x:c>
      <x:c r="H43" s="74" t="str">
        <x:v>1. Mở Phân quyền
2. Chọn người dùng
3. Gán vai trò và đơn vị
4. Lưu
5. Đăng nhập lại user</x:v>
      </x:c>
      <x:c r="I43" s="74" t="str">
        <x:v>uat.user / UAT_TESTER</x:v>
      </x:c>
      <x:c r="J43" s="74" t="str">
        <x:v>Quyền mới có hiệu lực sau khi đăng nhập lại</x:v>
      </x:c>
      <x:c r="K43" s="83" t="str">
        <x:v>Chưa chạy</x:v>
      </x:c>
      <x:c r="L43" s="83" t="str"/>
      <x:c r="M43" s="86"/>
      <x:c r="N43" s="74" t="str"/>
      <x:c r="O43" s="74" t="str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58" customHeight="1">
      <x:c r="A44" s="77" t="str">
        <x:v>TC-040</x:v>
      </x:c>
      <x:c r="B44" s="74" t="str">
        <x:v>Quản trị</x:v>
      </x:c>
      <x:c r="C44" s="74" t="str">
        <x:v>Cây đơn vị</x:v>
      </x:c>
      <x:c r="D44" s="74" t="str">
        <x:v>admin</x:v>
      </x:c>
      <x:c r="E44" s="74" t="str">
        <x:v>Positive</x:v>
      </x:c>
      <x:c r="F44" s="80" t="str">
        <x:v>P0</x:v>
      </x:c>
      <x:c r="G44" s="74" t="str">
        <x:v>Đăng nhập admin</x:v>
      </x:c>
      <x:c r="H44" s="74" t="str">
        <x:v>1. Mở Đơn vị
2. Mở/đóng các nút cây
3. Tìm Hà Nội</x:v>
      </x:c>
      <x:c r="I44" s="74" t="str">
        <x:v>Công an TP Hà Nội</x:v>
      </x:c>
      <x:c r="J44" s="74" t="str">
        <x:v>Quan hệ cha-con và thông tin đơn vị hiển thị đúng</x:v>
      </x:c>
      <x:c r="K44" s="83" t="str">
        <x:v>Chưa chạy</x:v>
      </x:c>
      <x:c r="L44" s="83" t="str"/>
      <x:c r="M44" s="86"/>
      <x:c r="N44" s="74" t="str"/>
      <x:c r="O44" s="74" t="str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58" customHeight="1">
      <x:c r="A45" s="77" t="str">
        <x:v>TC-041</x:v>
      </x:c>
      <x:c r="B45" s="74" t="str">
        <x:v>Quản trị</x:v>
      </x:c>
      <x:c r="C45" s="74" t="str">
        <x:v>Tạo đơn vị</x:v>
      </x:c>
      <x:c r="D45" s="74" t="str">
        <x:v>admin</x:v>
      </x:c>
      <x:c r="E45" s="74" t="str">
        <x:v>Positive</x:v>
      </x:c>
      <x:c r="F45" s="80" t="str">
        <x:v>P1</x:v>
      </x:c>
      <x:c r="G45" s="74" t="str">
        <x:v>Xác định đơn vị cha</x:v>
      </x:c>
      <x:c r="H45" s="74" t="str">
        <x:v>1. Bấm thêm đơn vị
2. Nhập mã/tên hợp lệ
3. Chọn đơn vị cha
4. Lưu</x:v>
      </x:c>
      <x:c r="I45" s="74" t="str">
        <x:v>UAT_DONVI_&lt;timestamp&gt;</x:v>
      </x:c>
      <x:c r="J45" s="74" t="str">
        <x:v>Đơn vị được tạo đúng vị trí trong cây</x:v>
      </x:c>
      <x:c r="K45" s="83" t="str">
        <x:v>Chưa chạy</x:v>
      </x:c>
      <x:c r="L45" s="83" t="str"/>
      <x:c r="M45" s="86"/>
      <x:c r="N45" s="74" t="str"/>
      <x:c r="O45" s="74" t="str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58" customHeight="1">
      <x:c r="A46" s="77" t="str">
        <x:v>TC-042</x:v>
      </x:c>
      <x:c r="B46" s="74" t="str">
        <x:v>Quản trị</x:v>
      </x:c>
      <x:c r="C46" s="74" t="str">
        <x:v>Trùng mã đơn vị</x:v>
      </x:c>
      <x:c r="D46" s="74" t="str">
        <x:v>admin</x:v>
      </x:c>
      <x:c r="E46" s="74" t="str">
        <x:v>Negative</x:v>
      </x:c>
      <x:c r="F46" s="80" t="str">
        <x:v>P1</x:v>
      </x:c>
      <x:c r="G46" s="74" t="str">
        <x:v>Đã có mã đơn vị</x:v>
      </x:c>
      <x:c r="H46" s="74" t="str">
        <x:v>1. Tạo đơn vị với mã đã tồn tại
2. Lưu</x:v>
      </x:c>
      <x:c r="I46" s="74" t="str">
        <x:v>Mã của Hà Nội</x:v>
      </x:c>
      <x:c r="J46" s="74" t="str">
        <x:v>Không tạo và hiển thị thông báo mã trùng</x:v>
      </x:c>
      <x:c r="K46" s="83" t="str">
        <x:v>Chưa chạy</x:v>
      </x:c>
      <x:c r="L46" s="83" t="str"/>
      <x:c r="M46" s="86"/>
      <x:c r="N46" s="74" t="str"/>
      <x:c r="O46" s="74" t="str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58" customHeight="1">
      <x:c r="A47" s="77" t="str">
        <x:v>TC-043</x:v>
      </x:c>
      <x:c r="B47" s="74" t="str">
        <x:v>Quản trị</x:v>
      </x:c>
      <x:c r="C47" s="74" t="str">
        <x:v>Chế độ nhập liệu đơn vị</x:v>
      </x:c>
      <x:c r="D47" s="74" t="str">
        <x:v>admin</x:v>
      </x:c>
      <x:c r="E47" s="74" t="str">
        <x:v>Positive</x:v>
      </x:c>
      <x:c r="F47" s="80" t="str">
        <x:v>P1</x:v>
      </x:c>
      <x:c r="G47" s="74" t="str">
        <x:v>Có đơn vị UAT</x:v>
      </x:c>
      <x:c r="H47" s="74" t="str">
        <x:v>1. Chuyển chế độ nhập liệu
2. Lưu
3. Đăng nhập tài khoản thuộc đơn vị</x:v>
      </x:c>
      <x:c r="I47" s="74" t="str">
        <x:v>TRUC_TIEP hoặc TONG_HOP</x:v>
      </x:c>
      <x:c r="J47" s="74" t="str">
        <x:v>Menu và luồng nhập liệu thay đổi đúng theo chế độ</x:v>
      </x:c>
      <x:c r="K47" s="83" t="str">
        <x:v>Chưa chạy</x:v>
      </x:c>
      <x:c r="L47" s="83" t="str"/>
      <x:c r="M47" s="86"/>
      <x:c r="N47" s="74" t="str"/>
      <x:c r="O47" s="74" t="str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58" customHeight="1">
      <x:c r="A48" s="77" t="str">
        <x:v>TC-044</x:v>
      </x:c>
      <x:c r="B48" s="74" t="str">
        <x:v>Quản trị</x:v>
      </x:c>
      <x:c r="C48" s="74" t="str">
        <x:v>Danh mục mã</x:v>
      </x:c>
      <x:c r="D48" s="74" t="str">
        <x:v>admin</x:v>
      </x:c>
      <x:c r="E48" s="74" t="str">
        <x:v>Positive</x:v>
      </x:c>
      <x:c r="F48" s="80" t="str">
        <x:v>P1</x:v>
      </x:c>
      <x:c r="G48" s="74" t="str">
        <x:v>Đăng nhập admin</x:v>
      </x:c>
      <x:c r="H48" s="74" t="str">
        <x:v>1. Mở Quản lý danh mục
2. Tạo danh mục và giá trị
3. Sửa giá trị
4. Tải lại</x:v>
      </x:c>
      <x:c r="I48" s="74" t="str">
        <x:v>UAT_CODE</x:v>
      </x:c>
      <x:c r="J48" s="74" t="str">
        <x:v>Danh mục/giá trị được lưu và hiển thị đúng</x:v>
      </x:c>
      <x:c r="K48" s="83" t="str">
        <x:v>Chưa chạy</x:v>
      </x:c>
      <x:c r="L48" s="83" t="str"/>
      <x:c r="M48" s="86"/>
      <x:c r="N48" s="74" t="str"/>
      <x:c r="O48" s="74" t="str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58" customHeight="1">
      <x:c r="A49" s="77" t="str">
        <x:v>TC-045</x:v>
      </x:c>
      <x:c r="B49" s="74" t="str">
        <x:v>Quản trị</x:v>
      </x:c>
      <x:c r="C49" s="74" t="str">
        <x:v>Loại thiết bị CNTT</x:v>
      </x:c>
      <x:c r="D49" s="74" t="str">
        <x:v>admin</x:v>
      </x:c>
      <x:c r="E49" s="74" t="str">
        <x:v>Positive</x:v>
      </x:c>
      <x:c r="F49" s="80" t="str">
        <x:v>P1</x:v>
      </x:c>
      <x:c r="G49" s="74" t="str">
        <x:v>Đăng nhập admin</x:v>
      </x:c>
      <x:c r="H49" s="74" t="str">
        <x:v>1. Mở Loại thiết bị CNTT
2. Tạo loại cha và loại con
3. Sửa tên
4. Tải lại</x:v>
      </x:c>
      <x:c r="I49" s="74" t="str">
        <x:v>UAT_DEVICE</x:v>
      </x:c>
      <x:c r="J49" s="74" t="str">
        <x:v>Cây loại thiết bị hiển thị đúng quan hệ và dữ liệu mới</x:v>
      </x:c>
      <x:c r="K49" s="83" t="str">
        <x:v>Chưa chạy</x:v>
      </x:c>
      <x:c r="L49" s="83" t="str"/>
      <x:c r="M49" s="86"/>
      <x:c r="N49" s="74" t="str"/>
      <x:c r="O49" s="74" t="str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58" customHeight="1">
      <x:c r="A50" s="77" t="str">
        <x:v>TC-046</x:v>
      </x:c>
      <x:c r="B50" s="74" t="str">
        <x:v>Kỳ và mẫu báo cáo</x:v>
      </x:c>
      <x:c r="C50" s="74" t="str">
        <x:v>Danh sách mẫu báo cáo</x:v>
      </x:c>
      <x:c r="D50" s="74" t="str">
        <x:v>h05.user</x:v>
      </x:c>
      <x:c r="E50" s="74" t="str">
        <x:v>Positive</x:v>
      </x:c>
      <x:c r="F50" s="80" t="str">
        <x:v>P0</x:v>
      </x:c>
      <x:c r="G50" s="74" t="str">
        <x:v>Đăng nhập h05.user</x:v>
      </x:c>
      <x:c r="H50" s="74" t="str">
        <x:v>1. Mở Mẫu báo cáo
2. Tìm mẫu Dự án CNTT</x:v>
      </x:c>
      <x:c r="I50" s="74" t="str">
        <x:v>Dự án CNTT</x:v>
      </x:c>
      <x:c r="J50" s="74" t="str">
        <x:v>Danh sách tải đúng và hiển thị các module thuộc mẫu</x:v>
      </x:c>
      <x:c r="K50" s="83" t="str">
        <x:v>Chưa chạy</x:v>
      </x:c>
      <x:c r="L50" s="83" t="str"/>
      <x:c r="M50" s="86"/>
      <x:c r="N50" s="74" t="str"/>
      <x:c r="O50" s="74" t="str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58" customHeight="1">
      <x:c r="A51" s="77" t="str">
        <x:v>TC-047</x:v>
      </x:c>
      <x:c r="B51" s="74" t="str">
        <x:v>Kỳ và mẫu báo cáo</x:v>
      </x:c>
      <x:c r="C51" s="74" t="str">
        <x:v>Tạo mẫu báo cáo</x:v>
      </x:c>
      <x:c r="D51" s="74" t="str">
        <x:v>h05.user</x:v>
      </x:c>
      <x:c r="E51" s="74" t="str">
        <x:v>Positive</x:v>
      </x:c>
      <x:c r="F51" s="80" t="str">
        <x:v>P1</x:v>
      </x:c>
      <x:c r="G51" s="74" t="str">
        <x:v>Có quyền tạo mẫu</x:v>
      </x:c>
      <x:c r="H51" s="74" t="str">
        <x:v>1. Bấm Thêm mẫu
2. Nhập mã/tên
3. Chọn module
4. Lưu</x:v>
      </x:c>
      <x:c r="I51" s="74" t="str">
        <x:v>MaMau=UAT_MAU_01</x:v>
      </x:c>
      <x:c r="J51" s="74" t="str">
        <x:v>Mẫu được tạo với đúng danh sách module</x:v>
      </x:c>
      <x:c r="K51" s="83" t="str">
        <x:v>Chưa chạy</x:v>
      </x:c>
      <x:c r="L51" s="83" t="str"/>
      <x:c r="M51" s="86"/>
      <x:c r="N51" s="74" t="str"/>
      <x:c r="O51" s="74" t="str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58" customHeight="1">
      <x:c r="A52" s="77" t="str">
        <x:v>TC-048</x:v>
      </x:c>
      <x:c r="B52" s="74" t="str">
        <x:v>Kỳ và mẫu báo cáo</x:v>
      </x:c>
      <x:c r="C52" s="74" t="str">
        <x:v>Mã mẫu sai định dạng</x:v>
      </x:c>
      <x:c r="D52" s="74" t="str">
        <x:v>h05.user</x:v>
      </x:c>
      <x:c r="E52" s="74" t="str">
        <x:v>Negative</x:v>
      </x:c>
      <x:c r="F52" s="80" t="str">
        <x:v>P1</x:v>
      </x:c>
      <x:c r="G52" s="74" t="str">
        <x:v>Mở form mẫu</x:v>
      </x:c>
      <x:c r="H52" s="74" t="str">
        <x:v>1. Nhập mã chứa khoảng trắng/ký tự đặc biệt
2. Lưu</x:v>
      </x:c>
      <x:c r="I52" s="74" t="str">
        <x:v>UAT MAU-01</x:v>
      </x:c>
      <x:c r="J52" s="74" t="str">
        <x:v>Không lưu; thông báo mã chỉ nhận chữ, số và dấu gạch dưới</x:v>
      </x:c>
      <x:c r="K52" s="83" t="str">
        <x:v>Chưa chạy</x:v>
      </x:c>
      <x:c r="L52" s="83" t="str"/>
      <x:c r="M52" s="86"/>
      <x:c r="N52" s="74" t="str"/>
      <x:c r="O52" s="74" t="str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58" customHeight="1">
      <x:c r="A53" s="77" t="str">
        <x:v>TC-049</x:v>
      </x:c>
      <x:c r="B53" s="74" t="str">
        <x:v>Kỳ và mẫu báo cáo</x:v>
      </x:c>
      <x:c r="C53" s="74" t="str">
        <x:v>Danh sách kỳ báo cáo</x:v>
      </x:c>
      <x:c r="D53" s="74" t="str">
        <x:v>h05.user</x:v>
      </x:c>
      <x:c r="E53" s="74" t="str">
        <x:v>Positive</x:v>
      </x:c>
      <x:c r="F53" s="80" t="str">
        <x:v>P0</x:v>
      </x:c>
      <x:c r="G53" s="74" t="str">
        <x:v>Đăng nhập h05.user</x:v>
      </x:c>
      <x:c r="H53" s="74" t="str">
        <x:v>1. Mở Kỳ báo cáo
2. Lọc năm 2026</x:v>
      </x:c>
      <x:c r="I53" s="74" t="str">
        <x:v>Năm 2026</x:v>
      </x:c>
      <x:c r="J53" s="74" t="str">
        <x:v>Hiển thị đúng kỳ, mẫu, ngày và trạng thái</x:v>
      </x:c>
      <x:c r="K53" s="83" t="str">
        <x:v>Chưa chạy</x:v>
      </x:c>
      <x:c r="L53" s="83" t="str"/>
      <x:c r="M53" s="86"/>
      <x:c r="N53" s="74" t="str"/>
      <x:c r="O53" s="74" t="str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58" customHeight="1">
      <x:c r="A54" s="77" t="str">
        <x:v>TC-050</x:v>
      </x:c>
      <x:c r="B54" s="74" t="str">
        <x:v>Kỳ và mẫu báo cáo</x:v>
      </x:c>
      <x:c r="C54" s="74" t="str">
        <x:v>Tạo kỳ báo cáo</x:v>
      </x:c>
      <x:c r="D54" s="74" t="str">
        <x:v>h05.user</x:v>
      </x:c>
      <x:c r="E54" s="74" t="str">
        <x:v>Positive</x:v>
      </x:c>
      <x:c r="F54" s="80" t="str">
        <x:v>P0</x:v>
      </x:c>
      <x:c r="G54" s="74" t="str">
        <x:v>Có mẫu báo cáo</x:v>
      </x:c>
      <x:c r="H54" s="74" t="str">
        <x:v>1. Bấm Tạo kỳ
2. Chọn mẫu và năm
3. Nhập tên/ngày bắt đầu/kết thúc
4. Lưu</x:v>
      </x:c>
      <x:c r="I54" s="74" t="str">
        <x:v>Kỳ UAT quý 4/2026</x:v>
      </x:c>
      <x:c r="J54" s="74" t="str">
        <x:v>Kỳ được tạo ở trạng thái phù hợp và xuất hiện trong danh sách</x:v>
      </x:c>
      <x:c r="K54" s="83" t="str">
        <x:v>Chưa chạy</x:v>
      </x:c>
      <x:c r="L54" s="83" t="str"/>
      <x:c r="M54" s="86"/>
      <x:c r="N54" s="74" t="str"/>
      <x:c r="O54" s="74" t="str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58" customHeight="1">
      <x:c r="A55" s="77" t="str">
        <x:v>TC-051</x:v>
      </x:c>
      <x:c r="B55" s="74" t="str">
        <x:v>Kỳ và mẫu báo cáo</x:v>
      </x:c>
      <x:c r="C55" s="74" t="str">
        <x:v>Ngày kết thúc không hợp lệ</x:v>
      </x:c>
      <x:c r="D55" s="74" t="str">
        <x:v>h05.user</x:v>
      </x:c>
      <x:c r="E55" s="74" t="str">
        <x:v>Negative</x:v>
      </x:c>
      <x:c r="F55" s="80" t="str">
        <x:v>P1</x:v>
      </x:c>
      <x:c r="G55" s="74" t="str">
        <x:v>Mở form tạo kỳ</x:v>
      </x:c>
      <x:c r="H55" s="74" t="str">
        <x:v>1. Chọn ngày kết thúc trước ngày bắt đầu
2. Lưu</x:v>
      </x:c>
      <x:c r="I55" s="74" t="str">
        <x:v>Từ 10/09/2026 đến 09/09/2026</x:v>
      </x:c>
      <x:c r="J55" s="74" t="str">
        <x:v>Không lưu; hiển thị thông báo ngày kết thúc phải sau ngày bắt đầu</x:v>
      </x:c>
      <x:c r="K55" s="83" t="str">
        <x:v>Chưa chạy</x:v>
      </x:c>
      <x:c r="L55" s="83" t="str"/>
      <x:c r="M55" s="86"/>
      <x:c r="N55" s="74" t="str"/>
      <x:c r="O55" s="74" t="str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58" customHeight="1">
      <x:c r="A56" s="77" t="str">
        <x:v>TC-052</x:v>
      </x:c>
      <x:c r="B56" s="74" t="str">
        <x:v>Kỳ và mẫu báo cáo</x:v>
      </x:c>
      <x:c r="C56" s="74" t="str">
        <x:v>Mở kỳ báo cáo</x:v>
      </x:c>
      <x:c r="D56" s="74" t="str">
        <x:v>h05.user</x:v>
      </x:c>
      <x:c r="E56" s="74" t="str">
        <x:v>Workflow</x:v>
      </x:c>
      <x:c r="F56" s="80" t="str">
        <x:v>P0</x:v>
      </x:c>
      <x:c r="G56" s="74" t="str">
        <x:v>Có kỳ chưa mở</x:v>
      </x:c>
      <x:c r="H56" s="74" t="str">
        <x:v>1. Chọn kỳ
2. Chuyển trạng thái Mở
3. Đăng nhập donvi.user</x:v>
      </x:c>
      <x:c r="I56" s="74" t="str">
        <x:v>Kỳ UAT</x:v>
      </x:c>
      <x:c r="J56" s="74" t="str">
        <x:v>Đơn vị nhìn thấy kỳ và có thể nhập/nộp theo cấu hình</x:v>
      </x:c>
      <x:c r="K56" s="83" t="str">
        <x:v>Chưa chạy</x:v>
      </x:c>
      <x:c r="L56" s="83" t="str"/>
      <x:c r="M56" s="86"/>
      <x:c r="N56" s="74" t="str"/>
      <x:c r="O56" s="74" t="str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58" customHeight="1">
      <x:c r="A57" s="77" t="str">
        <x:v>TC-053</x:v>
      </x:c>
      <x:c r="B57" s="74" t="str">
        <x:v>Kỳ và mẫu báo cáo</x:v>
      </x:c>
      <x:c r="C57" s="74" t="str">
        <x:v>Đóng kỳ báo cáo</x:v>
      </x:c>
      <x:c r="D57" s="74" t="str">
        <x:v>h05.user</x:v>
      </x:c>
      <x:c r="E57" s="74" t="str">
        <x:v>Workflow</x:v>
      </x:c>
      <x:c r="F57" s="80" t="str">
        <x:v>P0</x:v>
      </x:c>
      <x:c r="G57" s="74" t="str">
        <x:v>Có kỳ đang mở</x:v>
      </x:c>
      <x:c r="H57" s="74" t="str">
        <x:v>1. Chuyển trạng thái Đóng
2. Đăng nhập donvi.user
3. Thử sửa/nộp</x:v>
      </x:c>
      <x:c r="I57" s="74" t="str">
        <x:v>Kỳ UAT</x:v>
      </x:c>
      <x:c r="J57" s="74" t="str">
        <x:v>Kỳ đóng không cho phép thao tác nhập/nộp trái quy tắc</x:v>
      </x:c>
      <x:c r="K57" s="83" t="str">
        <x:v>Chưa chạy</x:v>
      </x:c>
      <x:c r="L57" s="83" t="str"/>
      <x:c r="M57" s="86"/>
      <x:c r="N57" s="74" t="str"/>
      <x:c r="O57" s="74" t="str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58" customHeight="1">
      <x:c r="A58" s="77" t="str">
        <x:v>TC-054</x:v>
      </x:c>
      <x:c r="B58" s="74" t="str">
        <x:v>Nộp báo cáo</x:v>
      </x:c>
      <x:c r="C58" s="74" t="str">
        <x:v>Hiển thị bối cảnh nộp</x:v>
      </x:c>
      <x:c r="D58" s="74" t="str">
        <x:v>donvi.user</x:v>
      </x:c>
      <x:c r="E58" s="74" t="str">
        <x:v>Positive</x:v>
      </x:c>
      <x:c r="F58" s="80" t="str">
        <x:v>P0</x:v>
      </x:c>
      <x:c r="G58" s="74" t="str">
        <x:v>Kỳ đang mở</x:v>
      </x:c>
      <x:c r="H58" s="74" t="str">
        <x:v>1. Mở Nộp báo cáo
2. Chọn kỳ
3. Quan sát trạng thái các module</x:v>
      </x:c>
      <x:c r="I58" s="74" t="str">
        <x:v>Kỳ UAT</x:v>
      </x:c>
      <x:c r="J58" s="74" t="str">
        <x:v>Hiển thị đúng module, trạng thái dữ liệu và điều kiện nộp</x:v>
      </x:c>
      <x:c r="K58" s="83" t="str">
        <x:v>Chưa chạy</x:v>
      </x:c>
      <x:c r="L58" s="83" t="str"/>
      <x:c r="M58" s="86"/>
      <x:c r="N58" s="74" t="str"/>
      <x:c r="O58" s="74" t="str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58" customHeight="1">
      <x:c r="A59" s="77" t="str">
        <x:v>TC-055</x:v>
      </x:c>
      <x:c r="B59" s="74" t="str">
        <x:v>Nộp báo cáo</x:v>
      </x:c>
      <x:c r="C59" s="74" t="str">
        <x:v>Nộp báo cáo thành công</x:v>
      </x:c>
      <x:c r="D59" s="74" t="str">
        <x:v>donvi.user</x:v>
      </x:c>
      <x:c r="E59" s="74" t="str">
        <x:v>Workflow</x:v>
      </x:c>
      <x:c r="F59" s="80" t="str">
        <x:v>P0</x:v>
      </x:c>
      <x:c r="G59" s="74" t="str">
        <x:v>Dữ liệu bắt buộc đã hoàn thành</x:v>
      </x:c>
      <x:c r="H59" s="74" t="str">
        <x:v>1. Mở Nộp báo cáo
2. Chọn kỳ
3. Xác nhận nộp
4. Tải lại</x:v>
      </x:c>
      <x:c r="I59" s="74" t="str">
        <x:v>Ghi chú UAT</x:v>
      </x:c>
      <x:c r="J59" s="74" t="str">
        <x:v>Tạo snapshot đã nộp/khóa, ghi nhận thời gian và phiên bản</x:v>
      </x:c>
      <x:c r="K59" s="83" t="str">
        <x:v>Chưa chạy</x:v>
      </x:c>
      <x:c r="L59" s="83" t="str"/>
      <x:c r="M59" s="86"/>
      <x:c r="N59" s="74" t="str"/>
      <x:c r="O59" s="74" t="str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58" customHeight="1">
      <x:c r="A60" s="77" t="str">
        <x:v>TC-056</x:v>
      </x:c>
      <x:c r="B60" s="74" t="str">
        <x:v>Nộp báo cáo</x:v>
      </x:c>
      <x:c r="C60" s="74" t="str">
        <x:v>Nộp khi thiếu điều kiện</x:v>
      </x:c>
      <x:c r="D60" s="74" t="str">
        <x:v>donvi.user</x:v>
      </x:c>
      <x:c r="E60" s="74" t="str">
        <x:v>Negative</x:v>
      </x:c>
      <x:c r="F60" s="80" t="str">
        <x:v>P0</x:v>
      </x:c>
      <x:c r="G60" s="74" t="str">
        <x:v>Còn module bắt buộc chưa hoàn thành</x:v>
      </x:c>
      <x:c r="H60" s="74" t="str">
        <x:v>1. Chọn kỳ
2. Bấm Nộp</x:v>
      </x:c>
      <x:c r="I60" s="74" t="str">
        <x:v>Kỳ chưa đủ dữ liệu</x:v>
      </x:c>
      <x:c r="J60" s="74" t="str">
        <x:v>Không nộp và hiển thị rõ module/điều kiện còn thiếu</x:v>
      </x:c>
      <x:c r="K60" s="83" t="str">
        <x:v>Chưa chạy</x:v>
      </x:c>
      <x:c r="L60" s="83" t="str"/>
      <x:c r="M60" s="86"/>
      <x:c r="N60" s="74" t="str"/>
      <x:c r="O60" s="74" t="str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58" customHeight="1">
      <x:c r="A61" s="77" t="str">
        <x:v>TC-057</x:v>
      </x:c>
      <x:c r="B61" s="74" t="str">
        <x:v>Nộp báo cáo</x:v>
      </x:c>
      <x:c r="C61" s="74" t="str">
        <x:v>Không sửa dữ liệu đã khóa</x:v>
      </x:c>
      <x:c r="D61" s="74" t="str">
        <x:v>donvi.user</x:v>
      </x:c>
      <x:c r="E61" s="74" t="str">
        <x:v>Workflow</x:v>
      </x:c>
      <x:c r="F61" s="80" t="str">
        <x:v>P0</x:v>
      </x:c>
      <x:c r="G61" s="74" t="str">
        <x:v>Báo cáo đã khóa</x:v>
      </x:c>
      <x:c r="H61" s="74" t="str">
        <x:v>1. Mở một module thuộc kỳ đã khóa
2. Thử sửa dữ liệu</x:v>
      </x:c>
      <x:c r="I61" s="74" t="str">
        <x:v>Snapshot đã khóa</x:v>
      </x:c>
      <x:c r="J61" s="74" t="str">
        <x:v>Không cho sửa hoặc yêu cầu mở lại trước khi sửa</x:v>
      </x:c>
      <x:c r="K61" s="83" t="str">
        <x:v>Chưa chạy</x:v>
      </x:c>
      <x:c r="L61" s="83" t="str"/>
      <x:c r="M61" s="86"/>
      <x:c r="N61" s="74" t="str"/>
      <x:c r="O61" s="74" t="str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58" customHeight="1">
      <x:c r="A62" s="77" t="str">
        <x:v>TC-058</x:v>
      </x:c>
      <x:c r="B62" s="74" t="str">
        <x:v>Nộp báo cáo</x:v>
      </x:c>
      <x:c r="C62" s="74" t="str">
        <x:v>Tạo phiên bản mới</x:v>
      </x:c>
      <x:c r="D62" s="74" t="str">
        <x:v>donvi.user</x:v>
      </x:c>
      <x:c r="E62" s="74" t="str">
        <x:v>Workflow</x:v>
      </x:c>
      <x:c r="F62" s="80" t="str">
        <x:v>P1</x:v>
      </x:c>
      <x:c r="G62" s="74" t="str">
        <x:v>Báo cáo đã được mở lại</x:v>
      </x:c>
      <x:c r="H62" s="74" t="str">
        <x:v>1. Cập nhật dữ liệu
2. Nộp lại báo cáo
3. Mở Tra cứu báo cáo</x:v>
      </x:c>
      <x:c r="I62" s="74" t="str">
        <x:v>Phiên bản trước v1</x:v>
      </x:c>
      <x:c r="J62" s="74" t="str">
        <x:v>Tạo phiên bản tăng dần; phiên bản cũ vẫn tra cứu được khi bỏ chọn Chỉ phiên bản mới nhất</x:v>
      </x:c>
      <x:c r="K62" s="83" t="str">
        <x:v>Chưa chạy</x:v>
      </x:c>
      <x:c r="L62" s="83" t="str"/>
      <x:c r="M62" s="86"/>
      <x:c r="N62" s="74" t="str"/>
      <x:c r="O62" s="74" t="str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58" customHeight="1">
      <x:c r="A63" s="77" t="str">
        <x:v>TC-059</x:v>
      </x:c>
      <x:c r="B63" s="74" t="str">
        <x:v>Bổ sung báo cáo</x:v>
      </x:c>
      <x:c r="C63" s="74" t="str">
        <x:v>Gửi yêu cầu bổ sung</x:v>
      </x:c>
      <x:c r="D63" s="74" t="str">
        <x:v>donvi.user</x:v>
      </x:c>
      <x:c r="E63" s="74" t="str">
        <x:v>Workflow</x:v>
      </x:c>
      <x:c r="F63" s="80" t="str">
        <x:v>P1</x:v>
      </x:c>
      <x:c r="G63" s="74" t="str">
        <x:v>Báo cáo đã nộp</x:v>
      </x:c>
      <x:c r="H63" s="74" t="str">
        <x:v>1. Mở Nộp báo cáo
2. Tạo yêu cầu bổ sung
3. Nhập lý do
4. Gửi</x:v>
      </x:c>
      <x:c r="I63" s="74" t="str">
        <x:v>Lý do UAT</x:v>
      </x:c>
      <x:c r="J63" s="74" t="str">
        <x:v>Yêu cầu được tạo và có trạng thái chờ duyệt</x:v>
      </x:c>
      <x:c r="K63" s="83" t="str">
        <x:v>Chưa chạy</x:v>
      </x:c>
      <x:c r="L63" s="83" t="str"/>
      <x:c r="M63" s="86"/>
      <x:c r="N63" s="74" t="str"/>
      <x:c r="O63" s="74" t="str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58" customHeight="1">
      <x:c r="A64" s="77" t="str">
        <x:v>TC-060</x:v>
      </x:c>
      <x:c r="B64" s="74" t="str">
        <x:v>Bổ sung báo cáo</x:v>
      </x:c>
      <x:c r="C64" s="74" t="str">
        <x:v>Duyệt yêu cầu bổ sung</x:v>
      </x:c>
      <x:c r="D64" s="74" t="str">
        <x:v>h05.user</x:v>
      </x:c>
      <x:c r="E64" s="74" t="str">
        <x:v>Workflow</x:v>
      </x:c>
      <x:c r="F64" s="80" t="str">
        <x:v>P1</x:v>
      </x:c>
      <x:c r="G64" s="74" t="str">
        <x:v>Có yêu cầu chờ duyệt</x:v>
      </x:c>
      <x:c r="H64" s="74" t="str">
        <x:v>1. Mở Yêu cầu bổ sung
2. Chọn yêu cầu
3. Duyệt</x:v>
      </x:c>
      <x:c r="I64" s="74" t="str">
        <x:v>Yêu cầu của Hà Nội</x:v>
      </x:c>
      <x:c r="J64" s="74" t="str">
        <x:v>Yêu cầu chuyển trạng thái đã duyệt và snapshot được mở lại</x:v>
      </x:c>
      <x:c r="K64" s="83" t="str">
        <x:v>Chưa chạy</x:v>
      </x:c>
      <x:c r="L64" s="83" t="str"/>
      <x:c r="M64" s="86"/>
      <x:c r="N64" s="74" t="str"/>
      <x:c r="O64" s="74" t="str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58" customHeight="1">
      <x:c r="A65" s="77" t="str">
        <x:v>TC-061</x:v>
      </x:c>
      <x:c r="B65" s="74" t="str">
        <x:v>Bổ sung báo cáo</x:v>
      </x:c>
      <x:c r="C65" s="74" t="str">
        <x:v>Từ chối yêu cầu bổ sung</x:v>
      </x:c>
      <x:c r="D65" s="74" t="str">
        <x:v>h05.user</x:v>
      </x:c>
      <x:c r="E65" s="74" t="str">
        <x:v>Workflow</x:v>
      </x:c>
      <x:c r="F65" s="80" t="str">
        <x:v>P2</x:v>
      </x:c>
      <x:c r="G65" s="74" t="str">
        <x:v>Có yêu cầu chờ duyệt</x:v>
      </x:c>
      <x:c r="H65" s="74" t="str">
        <x:v>1. Mở yêu cầu
2. Chọn Từ chối
3. Nhập lý do</x:v>
      </x:c>
      <x:c r="I65" s="74" t="str">
        <x:v>Lý do từ chối UAT</x:v>
      </x:c>
      <x:c r="J65" s="74" t="str">
        <x:v>Yêu cầu bị từ chối; báo cáo vẫn giữ trạng thái khóa</x:v>
      </x:c>
      <x:c r="K65" s="83" t="str">
        <x:v>Chưa chạy</x:v>
      </x:c>
      <x:c r="L65" s="83" t="str"/>
      <x:c r="M65" s="86"/>
      <x:c r="N65" s="74" t="str"/>
      <x:c r="O65" s="74" t="str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58" customHeight="1">
      <x:c r="A66" s="77" t="str">
        <x:v>TC-062</x:v>
      </x:c>
      <x:c r="B66" s="74" t="str">
        <x:v>Tiến độ</x:v>
      </x:c>
      <x:c r="C66" s="74" t="str">
        <x:v>Tiến độ báo cáo theo đơn vị</x:v>
      </x:c>
      <x:c r="D66" s="74" t="str">
        <x:v>h05.user</x:v>
      </x:c>
      <x:c r="E66" s="74" t="str">
        <x:v>Positive</x:v>
      </x:c>
      <x:c r="F66" s="80" t="str">
        <x:v>P0</x:v>
      </x:c>
      <x:c r="G66" s="74" t="str">
        <x:v>Có kỳ và dữ liệu nộp</x:v>
      </x:c>
      <x:c r="H66" s="74" t="str">
        <x:v>1. Mở Tiến độ báo cáo
2. Chọn kỳ
3. Đối chiếu trạng thái Hà Nội</x:v>
      </x:c>
      <x:c r="I66" s="74" t="str">
        <x:v>Kỳ có báo cáo đã nộp</x:v>
      </x:c>
      <x:c r="J66" s="74" t="str">
        <x:v>Trạng thái, phiên bản và thời gian nộp khớp với Tra cứu báo cáo</x:v>
      </x:c>
      <x:c r="K66" s="83" t="str">
        <x:v>Chưa chạy</x:v>
      </x:c>
      <x:c r="L66" s="83" t="str"/>
      <x:c r="M66" s="86"/>
      <x:c r="N66" s="74" t="str"/>
      <x:c r="O66" s="74" t="str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58" customHeight="1">
      <x:c r="A67" s="77" t="str">
        <x:v>TC-063</x:v>
      </x:c>
      <x:c r="B67" s="74" t="str">
        <x:v>Tra cứu báo cáo</x:v>
      </x:c>
      <x:c r="C67" s="74" t="str">
        <x:v>Lọc theo kỳ</x:v>
      </x:c>
      <x:c r="D67" s="74" t="str">
        <x:v>h05.viewer</x:v>
      </x:c>
      <x:c r="E67" s="74" t="str">
        <x:v>Positive</x:v>
      </x:c>
      <x:c r="F67" s="80" t="str">
        <x:v>P0</x:v>
      </x:c>
      <x:c r="G67" s="74" t="str">
        <x:v>Có nhiều kỳ báo cáo</x:v>
      </x:c>
      <x:c r="H67" s="74" t="str">
        <x:v>1. Mở Tra cứu báo cáo
2. Chọn một kỳ
3. Bấm Làm mới</x:v>
      </x:c>
      <x:c r="I67" s="74" t="str">
        <x:v>Báo cáo Dự án CNTT Quý 3 Năm 2026</x:v>
      </x:c>
      <x:c r="J67" s="74" t="str">
        <x:v>Chỉ hiển thị báo cáo thuộc kỳ đã chọn</x:v>
      </x:c>
      <x:c r="K67" s="83" t="str">
        <x:v>Chưa chạy</x:v>
      </x:c>
      <x:c r="L67" s="83" t="str"/>
      <x:c r="M67" s="86"/>
      <x:c r="N67" s="74" t="str"/>
      <x:c r="O67" s="74" t="str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58" customHeight="1">
      <x:c r="A68" s="77" t="str">
        <x:v>TC-064</x:v>
      </x:c>
      <x:c r="B68" s="74" t="str">
        <x:v>Tra cứu báo cáo</x:v>
      </x:c>
      <x:c r="C68" s="74" t="str">
        <x:v>Tìm theo đơn vị</x:v>
      </x:c>
      <x:c r="D68" s="74" t="str">
        <x:v>h05.viewer</x:v>
      </x:c>
      <x:c r="E68" s="74" t="str">
        <x:v>Positive</x:v>
      </x:c>
      <x:c r="F68" s="80" t="str">
        <x:v>P1</x:v>
      </x:c>
      <x:c r="G68" s="74" t="str">
        <x:v>Có nhiều đơn vị</x:v>
      </x:c>
      <x:c r="H68" s="74" t="str">
        <x:v>1. Nhập Hà Nội vào ô tìm đơn vị</x:v>
      </x:c>
      <x:c r="I68" s="74" t="str">
        <x:v>Hà Nội</x:v>
      </x:c>
      <x:c r="J68" s="74" t="str">
        <x:v>Danh sách chỉ còn đơn vị phù hợp</x:v>
      </x:c>
      <x:c r="K68" s="83" t="str">
        <x:v>Chưa chạy</x:v>
      </x:c>
      <x:c r="L68" s="83" t="str"/>
      <x:c r="M68" s="86"/>
      <x:c r="N68" s="74" t="str"/>
      <x:c r="O68" s="74" t="str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58" customHeight="1">
      <x:c r="A69" s="77" t="str">
        <x:v>TC-065</x:v>
      </x:c>
      <x:c r="B69" s="74" t="str">
        <x:v>Tra cứu báo cáo</x:v>
      </x:c>
      <x:c r="C69" s="74" t="str">
        <x:v>Chỉ phiên bản mới nhất</x:v>
      </x:c>
      <x:c r="D69" s="74" t="str">
        <x:v>h05.viewer</x:v>
      </x:c>
      <x:c r="E69" s="74" t="str">
        <x:v>Positive</x:v>
      </x:c>
      <x:c r="F69" s="80" t="str">
        <x:v>P1</x:v>
      </x:c>
      <x:c r="G69" s="74" t="str">
        <x:v>Một báo cáo có nhiều phiên bản</x:v>
      </x:c>
      <x:c r="H69" s="74" t="str">
        <x:v>1. Bật Chỉ phiên bản mới nhất
2. Ghi nhận kết quả
3. Tắt tùy chọn</x:v>
      </x:c>
      <x:c r="I69" s="74" t="str">
        <x:v>Báo cáo có v1 và v2</x:v>
      </x:c>
      <x:c r="J69" s="74" t="str">
        <x:v>Bật: chỉ thấy phiên bản cao nhất; tắt: thấy đầy đủ các phiên bản được phép xem</x:v>
      </x:c>
      <x:c r="K69" s="83" t="str">
        <x:v>Chưa chạy</x:v>
      </x:c>
      <x:c r="L69" s="83" t="str"/>
      <x:c r="M69" s="86"/>
      <x:c r="N69" s="74" t="str"/>
      <x:c r="O69" s="74" t="str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58" customHeight="1">
      <x:c r="A70" s="77" t="str">
        <x:v>TC-066</x:v>
      </x:c>
      <x:c r="B70" s="74" t="str">
        <x:v>Tra cứu báo cáo</x:v>
      </x:c>
      <x:c r="C70" s="74" t="str">
        <x:v>Xem trước PDF</x:v>
      </x:c>
      <x:c r="D70" s="74" t="str">
        <x:v>h05.viewer</x:v>
      </x:c>
      <x:c r="E70" s="74" t="str">
        <x:v>Integration</x:v>
      </x:c>
      <x:c r="F70" s="80" t="str">
        <x:v>P0</x:v>
      </x:c>
      <x:c r="G70" s="74" t="str">
        <x:v>MinIO và Gotenberg hoạt động</x:v>
      </x:c>
      <x:c r="H70" s="74" t="str">
        <x:v>1. Chọn báo cáo
2. Bấm biểu tượng mắt
3. Chờ tải PDF</x:v>
      </x:c>
      <x:c r="I70" s="74" t="str">
        <x:v>Báo cáo đã khóa</x:v>
      </x:c>
      <x:c r="J70" s="74" t="str">
        <x:v>Cửa sổ xem trước mở; PDF hiển thị đúng và không báo lỗi tải file</x:v>
      </x:c>
      <x:c r="K70" s="83" t="str">
        <x:v>Chưa chạy</x:v>
      </x:c>
      <x:c r="L70" s="83" t="str"/>
      <x:c r="M70" s="86"/>
      <x:c r="N70" s="74" t="str"/>
      <x:c r="O70" s="74" t="str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58" customHeight="1">
      <x:c r="A71" s="77" t="str">
        <x:v>TC-067</x:v>
      </x:c>
      <x:c r="B71" s="74" t="str">
        <x:v>Tra cứu báo cáo</x:v>
      </x:c>
      <x:c r="C71" s="74" t="str">
        <x:v>Tải Excel</x:v>
      </x:c>
      <x:c r="D71" s="74" t="str">
        <x:v>h05.viewer</x:v>
      </x:c>
      <x:c r="E71" s="74" t="str">
        <x:v>Integration</x:v>
      </x:c>
      <x:c r="F71" s="80" t="str">
        <x:v>P0</x:v>
      </x:c>
      <x:c r="G71" s="74" t="str">
        <x:v>Có báo cáo đã khóa</x:v>
      </x:c>
      <x:c r="H71" s="74" t="str">
        <x:v>1. Bấm biểu tượng Excel
2. Mở file</x:v>
      </x:c>
      <x:c r="I71" s="74" t="str">
        <x:v>Không có</x:v>
      </x:c>
      <x:c r="J71" s="74" t="str">
        <x:v>File Excel tải được, không hỏng và dữ liệu đúng kỳ/đơn vị</x:v>
      </x:c>
      <x:c r="K71" s="83" t="str">
        <x:v>Chưa chạy</x:v>
      </x:c>
      <x:c r="L71" s="83" t="str"/>
      <x:c r="M71" s="86"/>
      <x:c r="N71" s="74" t="str"/>
      <x:c r="O71" s="74" t="str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58" customHeight="1">
      <x:c r="A72" s="77" t="str">
        <x:v>TC-068</x:v>
      </x:c>
      <x:c r="B72" s="74" t="str">
        <x:v>Tra cứu báo cáo</x:v>
      </x:c>
      <x:c r="C72" s="74" t="str">
        <x:v>Tải PDF</x:v>
      </x:c>
      <x:c r="D72" s="74" t="str">
        <x:v>h05.viewer</x:v>
      </x:c>
      <x:c r="E72" s="74" t="str">
        <x:v>Integration</x:v>
      </x:c>
      <x:c r="F72" s="80" t="str">
        <x:v>P0</x:v>
      </x:c>
      <x:c r="G72" s="74" t="str">
        <x:v>Có báo cáo đã khóa</x:v>
      </x:c>
      <x:c r="H72" s="74" t="str">
        <x:v>1. Bấm biểu tượng PDF
2. Mở file</x:v>
      </x:c>
      <x:c r="I72" s="74" t="str">
        <x:v>Không có</x:v>
      </x:c>
      <x:c r="J72" s="74" t="str">
        <x:v>File PDF tải được, tên file dễ đọc và nội dung đúng</x:v>
      </x:c>
      <x:c r="K72" s="83" t="str">
        <x:v>Chưa chạy</x:v>
      </x:c>
      <x:c r="L72" s="83" t="str"/>
      <x:c r="M72" s="86"/>
      <x:c r="N72" s="74" t="str"/>
      <x:c r="O72" s="74" t="str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58" customHeight="1">
      <x:c r="A73" s="77" t="str">
        <x:v>TC-069</x:v>
      </x:c>
      <x:c r="B73" s="74" t="str">
        <x:v>So sánh báo cáo</x:v>
      </x:c>
      <x:c r="C73" s="74" t="str">
        <x:v>So sánh hai kỳ</x:v>
      </x:c>
      <x:c r="D73" s="74" t="str">
        <x:v>h05.viewer</x:v>
      </x:c>
      <x:c r="E73" s="74" t="str">
        <x:v>Positive</x:v>
      </x:c>
      <x:c r="F73" s="80" t="str">
        <x:v>P1</x:v>
      </x:c>
      <x:c r="G73" s="74" t="str">
        <x:v>Cùng đơn vị có báo cáo ở hai kỳ</x:v>
      </x:c>
      <x:c r="H73" s="74" t="str">
        <x:v>1. Mở So sánh báo cáo
2. Chọn đơn vị và hai kỳ
3. Thực hiện so sánh</x:v>
      </x:c>
      <x:c r="I73" s="74" t="str">
        <x:v>Hai kỳ liên tiếp</x:v>
      </x:c>
      <x:c r="J73" s="74" t="str">
        <x:v>Hiển thị đúng chênh lệch và không trộn dữ liệu đơn vị khác</x:v>
      </x:c>
      <x:c r="K73" s="83" t="str">
        <x:v>Chưa chạy</x:v>
      </x:c>
      <x:c r="L73" s="83" t="str"/>
      <x:c r="M73" s="86"/>
      <x:c r="N73" s="74" t="str"/>
      <x:c r="O73" s="74" t="str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58" customHeight="1">
      <x:c r="A74" s="77" t="str">
        <x:v>TC-070</x:v>
      </x:c>
      <x:c r="B74" s="74" t="str">
        <x:v>Dữ liệu nghiệp vụ</x:v>
      </x:c>
      <x:c r="C74" s="74" t="str">
        <x:v>Nhân lực CNTT - tải danh sách</x:v>
      </x:c>
      <x:c r="D74" s="74" t="str">
        <x:v>donvi.user</x:v>
      </x:c>
      <x:c r="E74" s="74" t="str">
        <x:v>Positive</x:v>
      </x:c>
      <x:c r="F74" s="80" t="str">
        <x:v>P1</x:v>
      </x:c>
      <x:c r="G74" s="74" t="str">
        <x:v>Đăng nhập donvi.user; kỳ phù hợp đang mở</x:v>
      </x:c>
      <x:c r="H74" s="74" t="str">
        <x:v>1. Mở http://10.10.79.248:8081/nhan-luc-cntt
2. Chờ tải danh sách
3. Đối chiếu đơn vị</x:v>
      </x:c>
      <x:c r="I74" s="74" t="str">
        <x:v>Dữ liệu Hà Nội</x:v>
      </x:c>
      <x:c r="J74" s="74" t="str">
        <x:v>Danh sách tải thành công và chỉ hiển thị dữ liệu trong phạm vi Hà Nội</x:v>
      </x:c>
      <x:c r="K74" s="83" t="str">
        <x:v>Chưa chạy</x:v>
      </x:c>
      <x:c r="L74" s="83" t="str"/>
      <x:c r="M74" s="86"/>
      <x:c r="N74" s="74" t="str"/>
      <x:c r="O74" s="74" t="str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58" customHeight="1">
      <x:c r="A75" s="77" t="str">
        <x:v>TC-071</x:v>
      </x:c>
      <x:c r="B75" s="74" t="str">
        <x:v>Dữ liệu nghiệp vụ</x:v>
      </x:c>
      <x:c r="C75" s="74" t="str">
        <x:v>Nhân lực CNTT - thêm mới</x:v>
      </x:c>
      <x:c r="D75" s="74" t="str">
        <x:v>donvi.user</x:v>
      </x:c>
      <x:c r="E75" s="74" t="str">
        <x:v>Positive</x:v>
      </x:c>
      <x:c r="F75" s="80" t="str">
        <x:v>P1</x:v>
      </x:c>
      <x:c r="G75" s="74" t="str">
        <x:v>Có quyền tạo và kỳ chưa khóa</x:v>
      </x:c>
      <x:c r="H75" s="74" t="str">
        <x:v>1. Mở http://10.10.79.248:8081/nhan-luc-cntt
2. Bấm Thêm mới
3. Nhập đủ trường bắt buộc với hậu tố UAT
4. Lưu
5. Tải lại danh sách</x:v>
      </x:c>
      <x:c r="I75" s="74" t="str">
        <x:v>Bản ghi Nhân lực CNTT UAT_&lt;timestamp&gt;</x:v>
      </x:c>
      <x:c r="J75" s="74" t="str">
        <x:v>Lưu thành công; bản ghi xuất hiện sau khi tải lại và gắn đúng đơn vị</x:v>
      </x:c>
      <x:c r="K75" s="83" t="str">
        <x:v>Chưa chạy</x:v>
      </x:c>
      <x:c r="L75" s="83" t="str"/>
      <x:c r="M75" s="86"/>
      <x:c r="N75" s="74" t="str"/>
      <x:c r="O75" s="74" t="str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58" customHeight="1">
      <x:c r="A76" s="77" t="str">
        <x:v>TC-072</x:v>
      </x:c>
      <x:c r="B76" s="74" t="str">
        <x:v>Dữ liệu nghiệp vụ</x:v>
      </x:c>
      <x:c r="C76" s="74" t="str">
        <x:v>Nhân lực CNTT - validation</x:v>
      </x:c>
      <x:c r="D76" s="74" t="str">
        <x:v>donvi.user</x:v>
      </x:c>
      <x:c r="E76" s="74" t="str">
        <x:v>Negative</x:v>
      </x:c>
      <x:c r="F76" s="80" t="str">
        <x:v>P1</x:v>
      </x:c>
      <x:c r="G76" s="74" t="str">
        <x:v>Mở form thêm mới</x:v>
      </x:c>
      <x:c r="H76" s="74" t="str">
        <x:v>1. Bỏ trống trường bắt buộc hoặc nhập giá trị ngoài giới hạn
2. Bấm Lưu</x:v>
      </x:c>
      <x:c r="I76" s="74" t="str">
        <x:v>Họ tên là bắt buộc; các trường mô tả phải đúng độ dài</x:v>
      </x:c>
      <x:c r="J76" s="74" t="str">
        <x:v>Không lưu dữ liệu; trường lỗi được chỉ rõ và dữ liệu đã nhập hợp lệ không bị mất ngoài dự kiến</x:v>
      </x:c>
      <x:c r="K76" s="83" t="str">
        <x:v>Chưa chạy</x:v>
      </x:c>
      <x:c r="L76" s="83" t="str"/>
      <x:c r="M76" s="86"/>
      <x:c r="N76" s="74" t="str"/>
      <x:c r="O76" s="74" t="str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58" customHeight="1">
      <x:c r="A77" s="77" t="str">
        <x:v>TC-073</x:v>
      </x:c>
      <x:c r="B77" s="74" t="str">
        <x:v>Dữ liệu nghiệp vụ</x:v>
      </x:c>
      <x:c r="C77" s="74" t="str">
        <x:v>Nhân lực CNTT - cập nhật</x:v>
      </x:c>
      <x:c r="D77" s="74" t="str">
        <x:v>donvi.user</x:v>
      </x:c>
      <x:c r="E77" s="74" t="str">
        <x:v>Positive</x:v>
      </x:c>
      <x:c r="F77" s="80" t="str">
        <x:v>P1</x:v>
      </x:c>
      <x:c r="G77" s="74" t="str">
        <x:v>Có bản ghi UAT và kỳ chưa khóa</x:v>
      </x:c>
      <x:c r="H77" s="74" t="str">
        <x:v>1. Mở bản ghi UAT
2. Thay đổi một trường cho phép
3. Lưu
4. Tải lại trang</x:v>
      </x:c>
      <x:c r="I77" s="74" t="str">
        <x:v>Thêm hậu tố _UPDATED</x:v>
      </x:c>
      <x:c r="J77" s="74" t="str">
        <x:v>Cập nhật thành công; giá trị mới được giữ sau khi tải lại và lịch sử/snapshot cũ không bị thay đổi ngoài quy tắc</x:v>
      </x:c>
      <x:c r="K77" s="83" t="str">
        <x:v>Chưa chạy</x:v>
      </x:c>
      <x:c r="L77" s="83" t="str"/>
      <x:c r="M77" s="86"/>
      <x:c r="N77" s="74" t="str"/>
      <x:c r="O77" s="74" t="str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58" customHeight="1">
      <x:c r="A78" s="77" t="str">
        <x:v>TC-074</x:v>
      </x:c>
      <x:c r="B78" s="74" t="str">
        <x:v>Dữ liệu nghiệp vụ</x:v>
      </x:c>
      <x:c r="C78" s="74" t="str">
        <x:v>Đào tạo bồi dưỡng - tải danh sách</x:v>
      </x:c>
      <x:c r="D78" s="74" t="str">
        <x:v>donvi.user</x:v>
      </x:c>
      <x:c r="E78" s="74" t="str">
        <x:v>Positive</x:v>
      </x:c>
      <x:c r="F78" s="80" t="str">
        <x:v>P1</x:v>
      </x:c>
      <x:c r="G78" s="74" t="str">
        <x:v>Đăng nhập donvi.user; kỳ phù hợp đang mở</x:v>
      </x:c>
      <x:c r="H78" s="74" t="str">
        <x:v>1. Mở http://10.10.79.248:8081/dao-tao-boi-duong
2. Chờ tải danh sách
3. Đối chiếu đơn vị</x:v>
      </x:c>
      <x:c r="I78" s="74" t="str">
        <x:v>Dữ liệu Hà Nội</x:v>
      </x:c>
      <x:c r="J78" s="74" t="str">
        <x:v>Danh sách tải thành công và chỉ hiển thị dữ liệu trong phạm vi Hà Nội</x:v>
      </x:c>
      <x:c r="K78" s="83" t="str">
        <x:v>Chưa chạy</x:v>
      </x:c>
      <x:c r="L78" s="83" t="str"/>
      <x:c r="M78" s="86"/>
      <x:c r="N78" s="74" t="str"/>
      <x:c r="O78" s="74" t="str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58" customHeight="1">
      <x:c r="A79" s="77" t="str">
        <x:v>TC-075</x:v>
      </x:c>
      <x:c r="B79" s="74" t="str">
        <x:v>Dữ liệu nghiệp vụ</x:v>
      </x:c>
      <x:c r="C79" s="74" t="str">
        <x:v>Đào tạo bồi dưỡng - thêm mới</x:v>
      </x:c>
      <x:c r="D79" s="74" t="str">
        <x:v>donvi.user</x:v>
      </x:c>
      <x:c r="E79" s="74" t="str">
        <x:v>Positive</x:v>
      </x:c>
      <x:c r="F79" s="80" t="str">
        <x:v>P1</x:v>
      </x:c>
      <x:c r="G79" s="74" t="str">
        <x:v>Có quyền tạo và kỳ chưa khóa</x:v>
      </x:c>
      <x:c r="H79" s="74" t="str">
        <x:v>1. Mở http://10.10.79.248:8081/dao-tao-boi-duong
2. Bấm Thêm mới
3. Nhập đủ trường bắt buộc với hậu tố UAT
4. Lưu
5. Tải lại danh sách</x:v>
      </x:c>
      <x:c r="I79" s="74" t="str">
        <x:v>Bản ghi Đào tạo bồi dưỡng UAT_&lt;timestamp&gt;</x:v>
      </x:c>
      <x:c r="J79" s="74" t="str">
        <x:v>Lưu thành công; bản ghi xuất hiện sau khi tải lại và gắn đúng đơn vị</x:v>
      </x:c>
      <x:c r="K79" s="83" t="str">
        <x:v>Chưa chạy</x:v>
      </x:c>
      <x:c r="L79" s="83" t="str"/>
      <x:c r="M79" s="86"/>
      <x:c r="N79" s="74" t="str"/>
      <x:c r="O79" s="74" t="str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58" customHeight="1">
      <x:c r="A80" s="77" t="str">
        <x:v>TC-076</x:v>
      </x:c>
      <x:c r="B80" s="74" t="str">
        <x:v>Dữ liệu nghiệp vụ</x:v>
      </x:c>
      <x:c r="C80" s="74" t="str">
        <x:v>Đào tạo bồi dưỡng - validation</x:v>
      </x:c>
      <x:c r="D80" s="74" t="str">
        <x:v>donvi.user</x:v>
      </x:c>
      <x:c r="E80" s="74" t="str">
        <x:v>Negative</x:v>
      </x:c>
      <x:c r="F80" s="80" t="str">
        <x:v>P1</x:v>
      </x:c>
      <x:c r="G80" s="74" t="str">
        <x:v>Mở form thêm mới</x:v>
      </x:c>
      <x:c r="H80" s="74" t="str">
        <x:v>1. Bỏ trống trường bắt buộc hoặc nhập giá trị ngoài giới hạn
2. Bấm Lưu</x:v>
      </x:c>
      <x:c r="I80" s="74" t="str">
        <x:v>Tên khóa học và đơn vị tổ chức bắt buộc; ngày kết thúc không trước ngày bắt đầu</x:v>
      </x:c>
      <x:c r="J80" s="74" t="str">
        <x:v>Không lưu dữ liệu; trường lỗi được chỉ rõ và dữ liệu đã nhập hợp lệ không bị mất ngoài dự kiến</x:v>
      </x:c>
      <x:c r="K80" s="83" t="str">
        <x:v>Chưa chạy</x:v>
      </x:c>
      <x:c r="L80" s="83" t="str"/>
      <x:c r="M80" s="86"/>
      <x:c r="N80" s="74" t="str"/>
      <x:c r="O80" s="74" t="str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58" customHeight="1">
      <x:c r="A81" s="77" t="str">
        <x:v>TC-077</x:v>
      </x:c>
      <x:c r="B81" s="74" t="str">
        <x:v>Dữ liệu nghiệp vụ</x:v>
      </x:c>
      <x:c r="C81" s="74" t="str">
        <x:v>Đào tạo bồi dưỡng - cập nhật</x:v>
      </x:c>
      <x:c r="D81" s="74" t="str">
        <x:v>donvi.user</x:v>
      </x:c>
      <x:c r="E81" s="74" t="str">
        <x:v>Positive</x:v>
      </x:c>
      <x:c r="F81" s="80" t="str">
        <x:v>P1</x:v>
      </x:c>
      <x:c r="G81" s="74" t="str">
        <x:v>Có bản ghi UAT và kỳ chưa khóa</x:v>
      </x:c>
      <x:c r="H81" s="74" t="str">
        <x:v>1. Mở bản ghi UAT
2. Thay đổi một trường cho phép
3. Lưu
4. Tải lại trang</x:v>
      </x:c>
      <x:c r="I81" s="74" t="str">
        <x:v>Thêm hậu tố _UPDATED</x:v>
      </x:c>
      <x:c r="J81" s="74" t="str">
        <x:v>Cập nhật thành công; giá trị mới được giữ sau khi tải lại và lịch sử/snapshot cũ không bị thay đổi ngoài quy tắc</x:v>
      </x:c>
      <x:c r="K81" s="83" t="str">
        <x:v>Chưa chạy</x:v>
      </x:c>
      <x:c r="L81" s="83" t="str"/>
      <x:c r="M81" s="86"/>
      <x:c r="N81" s="74" t="str"/>
      <x:c r="O81" s="74" t="str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58" customHeight="1">
      <x:c r="A82" s="77" t="str">
        <x:v>TC-078</x:v>
      </x:c>
      <x:c r="B82" s="74" t="str">
        <x:v>Dữ liệu nghiệp vụ</x:v>
      </x:c>
      <x:c r="C82" s="74" t="str">
        <x:v>Đào tạo học viên - tải danh sách</x:v>
      </x:c>
      <x:c r="D82" s="74" t="str">
        <x:v>donvi.user</x:v>
      </x:c>
      <x:c r="E82" s="74" t="str">
        <x:v>Positive</x:v>
      </x:c>
      <x:c r="F82" s="80" t="str">
        <x:v>P1</x:v>
      </x:c>
      <x:c r="G82" s="74" t="str">
        <x:v>Đăng nhập donvi.user; kỳ phù hợp đang mở</x:v>
      </x:c>
      <x:c r="H82" s="74" t="str">
        <x:v>1. Mở http://10.10.79.248:8081/dao-tao-hoc-vien
2. Chờ tải danh sách
3. Đối chiếu đơn vị</x:v>
      </x:c>
      <x:c r="I82" s="74" t="str">
        <x:v>Dữ liệu Hà Nội</x:v>
      </x:c>
      <x:c r="J82" s="74" t="str">
        <x:v>Danh sách tải thành công và chỉ hiển thị dữ liệu trong phạm vi Hà Nội</x:v>
      </x:c>
      <x:c r="K82" s="83" t="str">
        <x:v>Chưa chạy</x:v>
      </x:c>
      <x:c r="L82" s="83" t="str"/>
      <x:c r="M82" s="86"/>
      <x:c r="N82" s="74" t="str"/>
      <x:c r="O82" s="74" t="str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58" customHeight="1">
      <x:c r="A83" s="77" t="str">
        <x:v>TC-079</x:v>
      </x:c>
      <x:c r="B83" s="74" t="str">
        <x:v>Dữ liệu nghiệp vụ</x:v>
      </x:c>
      <x:c r="C83" s="74" t="str">
        <x:v>Đào tạo học viên - thêm mới</x:v>
      </x:c>
      <x:c r="D83" s="74" t="str">
        <x:v>donvi.user</x:v>
      </x:c>
      <x:c r="E83" s="74" t="str">
        <x:v>Positive</x:v>
      </x:c>
      <x:c r="F83" s="80" t="str">
        <x:v>P1</x:v>
      </x:c>
      <x:c r="G83" s="74" t="str">
        <x:v>Có quyền tạo và kỳ chưa khóa</x:v>
      </x:c>
      <x:c r="H83" s="74" t="str">
        <x:v>1. Mở http://10.10.79.248:8081/dao-tao-hoc-vien
2. Bấm Thêm mới
3. Nhập đủ trường bắt buộc với hậu tố UAT
4. Lưu
5. Tải lại danh sách</x:v>
      </x:c>
      <x:c r="I83" s="74" t="str">
        <x:v>Bản ghi Đào tạo học viên UAT_&lt;timestamp&gt;</x:v>
      </x:c>
      <x:c r="J83" s="74" t="str">
        <x:v>Lưu thành công; bản ghi xuất hiện sau khi tải lại và gắn đúng đơn vị</x:v>
      </x:c>
      <x:c r="K83" s="83" t="str">
        <x:v>Chưa chạy</x:v>
      </x:c>
      <x:c r="L83" s="83" t="str"/>
      <x:c r="M83" s="86"/>
      <x:c r="N83" s="74" t="str"/>
      <x:c r="O83" s="74" t="str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58" customHeight="1">
      <x:c r="A84" s="77" t="str">
        <x:v>TC-080</x:v>
      </x:c>
      <x:c r="B84" s="74" t="str">
        <x:v>Dữ liệu nghiệp vụ</x:v>
      </x:c>
      <x:c r="C84" s="74" t="str">
        <x:v>Đào tạo học viên - validation</x:v>
      </x:c>
      <x:c r="D84" s="74" t="str">
        <x:v>donvi.user</x:v>
      </x:c>
      <x:c r="E84" s="74" t="str">
        <x:v>Negative</x:v>
      </x:c>
      <x:c r="F84" s="80" t="str">
        <x:v>P1</x:v>
      </x:c>
      <x:c r="G84" s="74" t="str">
        <x:v>Mở form thêm mới</x:v>
      </x:c>
      <x:c r="H84" s="74" t="str">
        <x:v>1. Bỏ trống trường bắt buộc hoặc nhập giá trị ngoài giới hạn
2. Bấm Lưu</x:v>
      </x:c>
      <x:c r="I84" s="74" t="str">
        <x:v>Năm từ 2000 đến 2100; số lượng không âm; nội dung đào tạo bắt buộc</x:v>
      </x:c>
      <x:c r="J84" s="74" t="str">
        <x:v>Không lưu dữ liệu; trường lỗi được chỉ rõ và dữ liệu đã nhập hợp lệ không bị mất ngoài dự kiến</x:v>
      </x:c>
      <x:c r="K84" s="83" t="str">
        <x:v>Chưa chạy</x:v>
      </x:c>
      <x:c r="L84" s="83" t="str"/>
      <x:c r="M84" s="86"/>
      <x:c r="N84" s="74" t="str"/>
      <x:c r="O84" s="74" t="str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58" customHeight="1">
      <x:c r="A85" s="77" t="str">
        <x:v>TC-081</x:v>
      </x:c>
      <x:c r="B85" s="74" t="str">
        <x:v>Dữ liệu nghiệp vụ</x:v>
      </x:c>
      <x:c r="C85" s="74" t="str">
        <x:v>Đào tạo học viên - cập nhật</x:v>
      </x:c>
      <x:c r="D85" s="74" t="str">
        <x:v>donvi.user</x:v>
      </x:c>
      <x:c r="E85" s="74" t="str">
        <x:v>Positive</x:v>
      </x:c>
      <x:c r="F85" s="80" t="str">
        <x:v>P1</x:v>
      </x:c>
      <x:c r="G85" s="74" t="str">
        <x:v>Có bản ghi UAT và kỳ chưa khóa</x:v>
      </x:c>
      <x:c r="H85" s="74" t="str">
        <x:v>1. Mở bản ghi UAT
2. Thay đổi một trường cho phép
3. Lưu
4. Tải lại trang</x:v>
      </x:c>
      <x:c r="I85" s="74" t="str">
        <x:v>Thêm hậu tố _UPDATED</x:v>
      </x:c>
      <x:c r="J85" s="74" t="str">
        <x:v>Cập nhật thành công; giá trị mới được giữ sau khi tải lại và lịch sử/snapshot cũ không bị thay đổi ngoài quy tắc</x:v>
      </x:c>
      <x:c r="K85" s="83" t="str">
        <x:v>Chưa chạy</x:v>
      </x:c>
      <x:c r="L85" s="83" t="str"/>
      <x:c r="M85" s="86"/>
      <x:c r="N85" s="74" t="str"/>
      <x:c r="O85" s="74" t="str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58" customHeight="1">
      <x:c r="A86" s="77" t="str">
        <x:v>TC-082</x:v>
      </x:c>
      <x:c r="B86" s="74" t="str">
        <x:v>Dữ liệu nghiệp vụ</x:v>
      </x:c>
      <x:c r="C86" s="74" t="str">
        <x:v>Năng lực số - tải danh sách</x:v>
      </x:c>
      <x:c r="D86" s="74" t="str">
        <x:v>donvi.user</x:v>
      </x:c>
      <x:c r="E86" s="74" t="str">
        <x:v>Positive</x:v>
      </x:c>
      <x:c r="F86" s="80" t="str">
        <x:v>P1</x:v>
      </x:c>
      <x:c r="G86" s="74" t="str">
        <x:v>Đăng nhập donvi.user; kỳ phù hợp đang mở</x:v>
      </x:c>
      <x:c r="H86" s="74" t="str">
        <x:v>1. Mở http://10.10.79.248:8081/nang-luc-so
2. Chờ tải danh sách
3. Đối chiếu đơn vị</x:v>
      </x:c>
      <x:c r="I86" s="74" t="str">
        <x:v>Dữ liệu Hà Nội</x:v>
      </x:c>
      <x:c r="J86" s="74" t="str">
        <x:v>Danh sách tải thành công và chỉ hiển thị dữ liệu trong phạm vi Hà Nội</x:v>
      </x:c>
      <x:c r="K86" s="83" t="str">
        <x:v>Chưa chạy</x:v>
      </x:c>
      <x:c r="L86" s="83" t="str"/>
      <x:c r="M86" s="86"/>
      <x:c r="N86" s="74" t="str"/>
      <x:c r="O86" s="74" t="str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58" customHeight="1">
      <x:c r="A87" s="77" t="str">
        <x:v>TC-083</x:v>
      </x:c>
      <x:c r="B87" s="74" t="str">
        <x:v>Dữ liệu nghiệp vụ</x:v>
      </x:c>
      <x:c r="C87" s="74" t="str">
        <x:v>Năng lực số - thêm mới</x:v>
      </x:c>
      <x:c r="D87" s="74" t="str">
        <x:v>donvi.user</x:v>
      </x:c>
      <x:c r="E87" s="74" t="str">
        <x:v>Positive</x:v>
      </x:c>
      <x:c r="F87" s="80" t="str">
        <x:v>P1</x:v>
      </x:c>
      <x:c r="G87" s="74" t="str">
        <x:v>Có quyền tạo và kỳ chưa khóa</x:v>
      </x:c>
      <x:c r="H87" s="74" t="str">
        <x:v>1. Mở http://10.10.79.248:8081/nang-luc-so
2. Bấm Thêm mới
3. Nhập đủ trường bắt buộc với hậu tố UAT
4. Lưu
5. Tải lại danh sách</x:v>
      </x:c>
      <x:c r="I87" s="74" t="str">
        <x:v>Bản ghi Năng lực số UAT_&lt;timestamp&gt;</x:v>
      </x:c>
      <x:c r="J87" s="74" t="str">
        <x:v>Lưu thành công; bản ghi xuất hiện sau khi tải lại và gắn đúng đơn vị</x:v>
      </x:c>
      <x:c r="K87" s="83" t="str">
        <x:v>Chưa chạy</x:v>
      </x:c>
      <x:c r="L87" s="83" t="str"/>
      <x:c r="M87" s="86"/>
      <x:c r="N87" s="74" t="str"/>
      <x:c r="O87" s="74" t="str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58" customHeight="1">
      <x:c r="A88" s="77" t="str">
        <x:v>TC-084</x:v>
      </x:c>
      <x:c r="B88" s="74" t="str">
        <x:v>Dữ liệu nghiệp vụ</x:v>
      </x:c>
      <x:c r="C88" s="74" t="str">
        <x:v>Năng lực số - validation</x:v>
      </x:c>
      <x:c r="D88" s="74" t="str">
        <x:v>donvi.user</x:v>
      </x:c>
      <x:c r="E88" s="74" t="str">
        <x:v>Negative</x:v>
      </x:c>
      <x:c r="F88" s="80" t="str">
        <x:v>P1</x:v>
      </x:c>
      <x:c r="G88" s="74" t="str">
        <x:v>Mở form thêm mới</x:v>
      </x:c>
      <x:c r="H88" s="74" t="str">
        <x:v>1. Bỏ trống trường bắt buộc hoặc nhập giá trị ngoài giới hạn
2. Bấm Lưu</x:v>
      </x:c>
      <x:c r="I88" s="74" t="str">
        <x:v>Nhóm vị trí bắt buộc; số lượng không âm và tổng đạt/chưa đạt phải hợp lệ</x:v>
      </x:c>
      <x:c r="J88" s="74" t="str">
        <x:v>Không lưu dữ liệu; trường lỗi được chỉ rõ và dữ liệu đã nhập hợp lệ không bị mất ngoài dự kiến</x:v>
      </x:c>
      <x:c r="K88" s="83" t="str">
        <x:v>Chưa chạy</x:v>
      </x:c>
      <x:c r="L88" s="83" t="str"/>
      <x:c r="M88" s="86"/>
      <x:c r="N88" s="74" t="str"/>
      <x:c r="O88" s="74" t="str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58" customHeight="1">
      <x:c r="A89" s="77" t="str">
        <x:v>TC-085</x:v>
      </x:c>
      <x:c r="B89" s="74" t="str">
        <x:v>Dữ liệu nghiệp vụ</x:v>
      </x:c>
      <x:c r="C89" s="74" t="str">
        <x:v>Năng lực số - cập nhật</x:v>
      </x:c>
      <x:c r="D89" s="74" t="str">
        <x:v>donvi.user</x:v>
      </x:c>
      <x:c r="E89" s="74" t="str">
        <x:v>Positive</x:v>
      </x:c>
      <x:c r="F89" s="80" t="str">
        <x:v>P1</x:v>
      </x:c>
      <x:c r="G89" s="74" t="str">
        <x:v>Có bản ghi UAT và kỳ chưa khóa</x:v>
      </x:c>
      <x:c r="H89" s="74" t="str">
        <x:v>1. Mở bản ghi UAT
2. Thay đổi một trường cho phép
3. Lưu
4. Tải lại trang</x:v>
      </x:c>
      <x:c r="I89" s="74" t="str">
        <x:v>Thêm hậu tố _UPDATED</x:v>
      </x:c>
      <x:c r="J89" s="74" t="str">
        <x:v>Cập nhật thành công; giá trị mới được giữ sau khi tải lại và lịch sử/snapshot cũ không bị thay đổi ngoài quy tắc</x:v>
      </x:c>
      <x:c r="K89" s="83" t="str">
        <x:v>Chưa chạy</x:v>
      </x:c>
      <x:c r="L89" s="83" t="str"/>
      <x:c r="M89" s="86"/>
      <x:c r="N89" s="74" t="str"/>
      <x:c r="O89" s="74" t="str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58" customHeight="1">
      <x:c r="A90" s="77" t="str">
        <x:v>TC-086</x:v>
      </x:c>
      <x:c r="B90" s="74" t="str">
        <x:v>Dữ liệu nghiệp vụ</x:v>
      </x:c>
      <x:c r="C90" s="74" t="str">
        <x:v>Thiết bị CNTT - tải danh sách</x:v>
      </x:c>
      <x:c r="D90" s="74" t="str">
        <x:v>donvi.user</x:v>
      </x:c>
      <x:c r="E90" s="74" t="str">
        <x:v>Positive</x:v>
      </x:c>
      <x:c r="F90" s="80" t="str">
        <x:v>P1</x:v>
      </x:c>
      <x:c r="G90" s="74" t="str">
        <x:v>Đăng nhập donvi.user; kỳ phù hợp đang mở</x:v>
      </x:c>
      <x:c r="H90" s="74" t="str">
        <x:v>1. Mở http://10.10.79.248:8081/thiet-bi-cntt
2. Chờ tải danh sách
3. Đối chiếu đơn vị</x:v>
      </x:c>
      <x:c r="I90" s="74" t="str">
        <x:v>Dữ liệu Hà Nội</x:v>
      </x:c>
      <x:c r="J90" s="74" t="str">
        <x:v>Danh sách tải thành công và chỉ hiển thị dữ liệu trong phạm vi Hà Nội</x:v>
      </x:c>
      <x:c r="K90" s="83" t="str">
        <x:v>Chưa chạy</x:v>
      </x:c>
      <x:c r="L90" s="83" t="str"/>
      <x:c r="M90" s="86"/>
      <x:c r="N90" s="74" t="str"/>
      <x:c r="O90" s="74" t="str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58" customHeight="1">
      <x:c r="A91" s="77" t="str">
        <x:v>TC-087</x:v>
      </x:c>
      <x:c r="B91" s="74" t="str">
        <x:v>Dữ liệu nghiệp vụ</x:v>
      </x:c>
      <x:c r="C91" s="74" t="str">
        <x:v>Thiết bị CNTT - thêm mới</x:v>
      </x:c>
      <x:c r="D91" s="74" t="str">
        <x:v>donvi.user</x:v>
      </x:c>
      <x:c r="E91" s="74" t="str">
        <x:v>Positive</x:v>
      </x:c>
      <x:c r="F91" s="80" t="str">
        <x:v>P1</x:v>
      </x:c>
      <x:c r="G91" s="74" t="str">
        <x:v>Có quyền tạo và kỳ chưa khóa</x:v>
      </x:c>
      <x:c r="H91" s="74" t="str">
        <x:v>1. Mở http://10.10.79.248:8081/thiet-bi-cntt
2. Bấm Thêm mới
3. Nhập đủ trường bắt buộc với hậu tố UAT
4. Lưu
5. Tải lại danh sách</x:v>
      </x:c>
      <x:c r="I91" s="74" t="str">
        <x:v>Bản ghi Thiết bị CNTT UAT_&lt;timestamp&gt;</x:v>
      </x:c>
      <x:c r="J91" s="74" t="str">
        <x:v>Lưu thành công; bản ghi xuất hiện sau khi tải lại và gắn đúng đơn vị</x:v>
      </x:c>
      <x:c r="K91" s="83" t="str">
        <x:v>Chưa chạy</x:v>
      </x:c>
      <x:c r="L91" s="83" t="str"/>
      <x:c r="M91" s="86"/>
      <x:c r="N91" s="74" t="str"/>
      <x:c r="O91" s="74" t="str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58" customHeight="1">
      <x:c r="A92" s="77" t="str">
        <x:v>TC-088</x:v>
      </x:c>
      <x:c r="B92" s="74" t="str">
        <x:v>Dữ liệu nghiệp vụ</x:v>
      </x:c>
      <x:c r="C92" s="74" t="str">
        <x:v>Thiết bị CNTT - validation</x:v>
      </x:c>
      <x:c r="D92" s="74" t="str">
        <x:v>donvi.user</x:v>
      </x:c>
      <x:c r="E92" s="74" t="str">
        <x:v>Negative</x:v>
      </x:c>
      <x:c r="F92" s="80" t="str">
        <x:v>P1</x:v>
      </x:c>
      <x:c r="G92" s="74" t="str">
        <x:v>Mở form thêm mới</x:v>
      </x:c>
      <x:c r="H92" s="74" t="str">
        <x:v>1. Bỏ trống trường bắt buộc hoặc nhập giá trị ngoài giới hạn
2. Bấm Lưu</x:v>
      </x:c>
      <x:c r="I92" s="74" t="str">
        <x:v>Chọn loại thiết bị và nhập các trường bắt buộc</x:v>
      </x:c>
      <x:c r="J92" s="74" t="str">
        <x:v>Không lưu dữ liệu; trường lỗi được chỉ rõ và dữ liệu đã nhập hợp lệ không bị mất ngoài dự kiến</x:v>
      </x:c>
      <x:c r="K92" s="83" t="str">
        <x:v>Chưa chạy</x:v>
      </x:c>
      <x:c r="L92" s="83" t="str"/>
      <x:c r="M92" s="86"/>
      <x:c r="N92" s="74" t="str"/>
      <x:c r="O92" s="74" t="str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58" customHeight="1">
      <x:c r="A93" s="77" t="str">
        <x:v>TC-089</x:v>
      </x:c>
      <x:c r="B93" s="74" t="str">
        <x:v>Dữ liệu nghiệp vụ</x:v>
      </x:c>
      <x:c r="C93" s="74" t="str">
        <x:v>Thiết bị CNTT - cập nhật</x:v>
      </x:c>
      <x:c r="D93" s="74" t="str">
        <x:v>donvi.user</x:v>
      </x:c>
      <x:c r="E93" s="74" t="str">
        <x:v>Positive</x:v>
      </x:c>
      <x:c r="F93" s="80" t="str">
        <x:v>P1</x:v>
      </x:c>
      <x:c r="G93" s="74" t="str">
        <x:v>Có bản ghi UAT và kỳ chưa khóa</x:v>
      </x:c>
      <x:c r="H93" s="74" t="str">
        <x:v>1. Mở bản ghi UAT
2. Thay đổi một trường cho phép
3. Lưu
4. Tải lại trang</x:v>
      </x:c>
      <x:c r="I93" s="74" t="str">
        <x:v>Thêm hậu tố _UPDATED</x:v>
      </x:c>
      <x:c r="J93" s="74" t="str">
        <x:v>Cập nhật thành công; giá trị mới được giữ sau khi tải lại và lịch sử/snapshot cũ không bị thay đổi ngoài quy tắc</x:v>
      </x:c>
      <x:c r="K93" s="83" t="str">
        <x:v>Chưa chạy</x:v>
      </x:c>
      <x:c r="L93" s="83" t="str"/>
      <x:c r="M93" s="86"/>
      <x:c r="N93" s="74" t="str"/>
      <x:c r="O93" s="74" t="str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58" customHeight="1">
      <x:c r="A94" s="77" t="str">
        <x:v>TC-090</x:v>
      </x:c>
      <x:c r="B94" s="74" t="str">
        <x:v>Dữ liệu nghiệp vụ</x:v>
      </x:c>
      <x:c r="C94" s="74" t="str">
        <x:v>Hệ thống thông tin - tải danh sách</x:v>
      </x:c>
      <x:c r="D94" s="74" t="str">
        <x:v>donvi.user</x:v>
      </x:c>
      <x:c r="E94" s="74" t="str">
        <x:v>Positive</x:v>
      </x:c>
      <x:c r="F94" s="80" t="str">
        <x:v>P1</x:v>
      </x:c>
      <x:c r="G94" s="74" t="str">
        <x:v>Đăng nhập donvi.user; kỳ phù hợp đang mở</x:v>
      </x:c>
      <x:c r="H94" s="74" t="str">
        <x:v>1. Mở http://10.10.79.248:8081/he-thong-thong-tin
2. Chờ tải danh sách
3. Đối chiếu đơn vị</x:v>
      </x:c>
      <x:c r="I94" s="74" t="str">
        <x:v>Dữ liệu Hà Nội</x:v>
      </x:c>
      <x:c r="J94" s="74" t="str">
        <x:v>Danh sách tải thành công và chỉ hiển thị dữ liệu trong phạm vi Hà Nội</x:v>
      </x:c>
      <x:c r="K94" s="83" t="str">
        <x:v>Chưa chạy</x:v>
      </x:c>
      <x:c r="L94" s="83" t="str"/>
      <x:c r="M94" s="86"/>
      <x:c r="N94" s="74" t="str"/>
      <x:c r="O94" s="74" t="str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58" customHeight="1">
      <x:c r="A95" s="77" t="str">
        <x:v>TC-091</x:v>
      </x:c>
      <x:c r="B95" s="74" t="str">
        <x:v>Dữ liệu nghiệp vụ</x:v>
      </x:c>
      <x:c r="C95" s="74" t="str">
        <x:v>Hệ thống thông tin - thêm mới</x:v>
      </x:c>
      <x:c r="D95" s="74" t="str">
        <x:v>donvi.user</x:v>
      </x:c>
      <x:c r="E95" s="74" t="str">
        <x:v>Positive</x:v>
      </x:c>
      <x:c r="F95" s="80" t="str">
        <x:v>P1</x:v>
      </x:c>
      <x:c r="G95" s="74" t="str">
        <x:v>Có quyền tạo và kỳ chưa khóa</x:v>
      </x:c>
      <x:c r="H95" s="74" t="str">
        <x:v>1. Mở http://10.10.79.248:8081/he-thong-thong-tin
2. Bấm Thêm mới
3. Nhập đủ trường bắt buộc với hậu tố UAT
4. Lưu
5. Tải lại danh sách</x:v>
      </x:c>
      <x:c r="I95" s="74" t="str">
        <x:v>Bản ghi Hệ thống thông tin UAT_&lt;timestamp&gt;</x:v>
      </x:c>
      <x:c r="J95" s="74" t="str">
        <x:v>Lưu thành công; bản ghi xuất hiện sau khi tải lại và gắn đúng đơn vị</x:v>
      </x:c>
      <x:c r="K95" s="83" t="str">
        <x:v>Chưa chạy</x:v>
      </x:c>
      <x:c r="L95" s="83" t="str"/>
      <x:c r="M95" s="86"/>
      <x:c r="N95" s="74" t="str"/>
      <x:c r="O95" s="74" t="str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ht="58" customHeight="1">
      <x:c r="A96" s="77" t="str">
        <x:v>TC-092</x:v>
      </x:c>
      <x:c r="B96" s="74" t="str">
        <x:v>Dữ liệu nghiệp vụ</x:v>
      </x:c>
      <x:c r="C96" s="74" t="str">
        <x:v>Hệ thống thông tin - validation</x:v>
      </x:c>
      <x:c r="D96" s="74" t="str">
        <x:v>donvi.user</x:v>
      </x:c>
      <x:c r="E96" s="74" t="str">
        <x:v>Negative</x:v>
      </x:c>
      <x:c r="F96" s="80" t="str">
        <x:v>P1</x:v>
      </x:c>
      <x:c r="G96" s="74" t="str">
        <x:v>Mở form thêm mới</x:v>
      </x:c>
      <x:c r="H96" s="74" t="str">
        <x:v>1. Bỏ trống trường bắt buộc hoặc nhập giá trị ngoài giới hạn
2. Bấm Lưu</x:v>
      </x:c>
      <x:c r="I96" s="74" t="str">
        <x:v>Tên hệ thống và thông tin phân loại phải hợp lệ</x:v>
      </x:c>
      <x:c r="J96" s="74" t="str">
        <x:v>Không lưu dữ liệu; trường lỗi được chỉ rõ và dữ liệu đã nhập hợp lệ không bị mất ngoài dự kiến</x:v>
      </x:c>
      <x:c r="K96" s="83" t="str">
        <x:v>Chưa chạy</x:v>
      </x:c>
      <x:c r="L96" s="83" t="str"/>
      <x:c r="M96" s="86"/>
      <x:c r="N96" s="74" t="str"/>
      <x:c r="O96" s="74" t="str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ht="58" customHeight="1">
      <x:c r="A97" s="77" t="str">
        <x:v>TC-093</x:v>
      </x:c>
      <x:c r="B97" s="74" t="str">
        <x:v>Dữ liệu nghiệp vụ</x:v>
      </x:c>
      <x:c r="C97" s="74" t="str">
        <x:v>Hệ thống thông tin - cập nhật</x:v>
      </x:c>
      <x:c r="D97" s="74" t="str">
        <x:v>donvi.user</x:v>
      </x:c>
      <x:c r="E97" s="74" t="str">
        <x:v>Positive</x:v>
      </x:c>
      <x:c r="F97" s="80" t="str">
        <x:v>P1</x:v>
      </x:c>
      <x:c r="G97" s="74" t="str">
        <x:v>Có bản ghi UAT và kỳ chưa khóa</x:v>
      </x:c>
      <x:c r="H97" s="74" t="str">
        <x:v>1. Mở bản ghi UAT
2. Thay đổi một trường cho phép
3. Lưu
4. Tải lại trang</x:v>
      </x:c>
      <x:c r="I97" s="74" t="str">
        <x:v>Thêm hậu tố _UPDATED</x:v>
      </x:c>
      <x:c r="J97" s="74" t="str">
        <x:v>Cập nhật thành công; giá trị mới được giữ sau khi tải lại và lịch sử/snapshot cũ không bị thay đổi ngoài quy tắc</x:v>
      </x:c>
      <x:c r="K97" s="83" t="str">
        <x:v>Chưa chạy</x:v>
      </x:c>
      <x:c r="L97" s="83" t="str"/>
      <x:c r="M97" s="86"/>
      <x:c r="N97" s="74" t="str"/>
      <x:c r="O97" s="74" t="str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ht="58" customHeight="1">
      <x:c r="A98" s="77" t="str">
        <x:v>TC-094</x:v>
      </x:c>
      <x:c r="B98" s="74" t="str">
        <x:v>Dữ liệu nghiệp vụ</x:v>
      </x:c>
      <x:c r="C98" s="74" t="str">
        <x:v>Hạ tầng mạng - tải danh sách</x:v>
      </x:c>
      <x:c r="D98" s="74" t="str">
        <x:v>donvi.user</x:v>
      </x:c>
      <x:c r="E98" s="74" t="str">
        <x:v>Positive</x:v>
      </x:c>
      <x:c r="F98" s="80" t="str">
        <x:v>P1</x:v>
      </x:c>
      <x:c r="G98" s="74" t="str">
        <x:v>Đăng nhập donvi.user; kỳ phù hợp đang mở</x:v>
      </x:c>
      <x:c r="H98" s="74" t="str">
        <x:v>1. Mở http://10.10.79.248:8081/ha-tang-mang
2. Chờ tải danh sách
3. Đối chiếu đơn vị</x:v>
      </x:c>
      <x:c r="I98" s="74" t="str">
        <x:v>Dữ liệu Hà Nội</x:v>
      </x:c>
      <x:c r="J98" s="74" t="str">
        <x:v>Danh sách tải thành công và chỉ hiển thị dữ liệu trong phạm vi Hà Nội</x:v>
      </x:c>
      <x:c r="K98" s="83" t="str">
        <x:v>Chưa chạy</x:v>
      </x:c>
      <x:c r="L98" s="83" t="str"/>
      <x:c r="M98" s="86"/>
      <x:c r="N98" s="74" t="str"/>
      <x:c r="O98" s="74" t="str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ht="58" customHeight="1">
      <x:c r="A99" s="77" t="str">
        <x:v>TC-095</x:v>
      </x:c>
      <x:c r="B99" s="74" t="str">
        <x:v>Dữ liệu nghiệp vụ</x:v>
      </x:c>
      <x:c r="C99" s="74" t="str">
        <x:v>Hạ tầng mạng - thêm mới</x:v>
      </x:c>
      <x:c r="D99" s="74" t="str">
        <x:v>donvi.user</x:v>
      </x:c>
      <x:c r="E99" s="74" t="str">
        <x:v>Positive</x:v>
      </x:c>
      <x:c r="F99" s="80" t="str">
        <x:v>P1</x:v>
      </x:c>
      <x:c r="G99" s="74" t="str">
        <x:v>Có quyền tạo và kỳ chưa khóa</x:v>
      </x:c>
      <x:c r="H99" s="74" t="str">
        <x:v>1. Mở http://10.10.79.248:8081/ha-tang-mang
2. Bấm Thêm mới
3. Nhập đủ trường bắt buộc với hậu tố UAT
4. Lưu
5. Tải lại danh sách</x:v>
      </x:c>
      <x:c r="I99" s="74" t="str">
        <x:v>Bản ghi Hạ tầng mạng UAT_&lt;timestamp&gt;</x:v>
      </x:c>
      <x:c r="J99" s="74" t="str">
        <x:v>Lưu thành công; bản ghi xuất hiện sau khi tải lại và gắn đúng đơn vị</x:v>
      </x:c>
      <x:c r="K99" s="83" t="str">
        <x:v>Chưa chạy</x:v>
      </x:c>
      <x:c r="L99" s="83" t="str"/>
      <x:c r="M99" s="86"/>
      <x:c r="N99" s="74" t="str"/>
      <x:c r="O99" s="74" t="str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ht="58" customHeight="1">
      <x:c r="A100" s="77" t="str">
        <x:v>TC-096</x:v>
      </x:c>
      <x:c r="B100" s="74" t="str">
        <x:v>Dữ liệu nghiệp vụ</x:v>
      </x:c>
      <x:c r="C100" s="74" t="str">
        <x:v>Hạ tầng mạng - validation</x:v>
      </x:c>
      <x:c r="D100" s="74" t="str">
        <x:v>donvi.user</x:v>
      </x:c>
      <x:c r="E100" s="74" t="str">
        <x:v>Negative</x:v>
      </x:c>
      <x:c r="F100" s="80" t="str">
        <x:v>P1</x:v>
      </x:c>
      <x:c r="G100" s="74" t="str">
        <x:v>Mở form thêm mới</x:v>
      </x:c>
      <x:c r="H100" s="74" t="str">
        <x:v>1. Bỏ trống trường bắt buộc hoặc nhập giá trị ngoài giới hạn
2. Bấm Lưu</x:v>
      </x:c>
      <x:c r="I100" s="74" t="str">
        <x:v>Các số liệu không âm và trường bắt buộc không để trống</x:v>
      </x:c>
      <x:c r="J100" s="74" t="str">
        <x:v>Không lưu dữ liệu; trường lỗi được chỉ rõ và dữ liệu đã nhập hợp lệ không bị mất ngoài dự kiến</x:v>
      </x:c>
      <x:c r="K100" s="83" t="str">
        <x:v>Chưa chạy</x:v>
      </x:c>
      <x:c r="L100" s="83" t="str"/>
      <x:c r="M100" s="86"/>
      <x:c r="N100" s="74" t="str"/>
      <x:c r="O100" s="74" t="str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ht="58" customHeight="1">
      <x:c r="A101" s="77" t="str">
        <x:v>TC-097</x:v>
      </x:c>
      <x:c r="B101" s="74" t="str">
        <x:v>Dữ liệu nghiệp vụ</x:v>
      </x:c>
      <x:c r="C101" s="74" t="str">
        <x:v>Hạ tầng mạng - cập nhật</x:v>
      </x:c>
      <x:c r="D101" s="74" t="str">
        <x:v>donvi.user</x:v>
      </x:c>
      <x:c r="E101" s="74" t="str">
        <x:v>Positive</x:v>
      </x:c>
      <x:c r="F101" s="80" t="str">
        <x:v>P1</x:v>
      </x:c>
      <x:c r="G101" s="74" t="str">
        <x:v>Có bản ghi UAT và kỳ chưa khóa</x:v>
      </x:c>
      <x:c r="H101" s="74" t="str">
        <x:v>1. Mở bản ghi UAT
2. Thay đổi một trường cho phép
3. Lưu
4. Tải lại trang</x:v>
      </x:c>
      <x:c r="I101" s="74" t="str">
        <x:v>Thêm hậu tố _UPDATED</x:v>
      </x:c>
      <x:c r="J101" s="74" t="str">
        <x:v>Cập nhật thành công; giá trị mới được giữ sau khi tải lại và lịch sử/snapshot cũ không bị thay đổi ngoài quy tắc</x:v>
      </x:c>
      <x:c r="K101" s="83" t="str">
        <x:v>Chưa chạy</x:v>
      </x:c>
      <x:c r="L101" s="83" t="str"/>
      <x:c r="M101" s="86"/>
      <x:c r="N101" s="74" t="str"/>
      <x:c r="O101" s="74" t="str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ht="58" customHeight="1">
      <x:c r="A102" s="77" t="str">
        <x:v>TC-098</x:v>
      </x:c>
      <x:c r="B102" s="74" t="str">
        <x:v>Dữ liệu nghiệp vụ</x:v>
      </x:c>
      <x:c r="C102" s="74" t="str">
        <x:v>Giám sát NOC - tải danh sách</x:v>
      </x:c>
      <x:c r="D102" s="74" t="str">
        <x:v>donvi.user</x:v>
      </x:c>
      <x:c r="E102" s="74" t="str">
        <x:v>Positive</x:v>
      </x:c>
      <x:c r="F102" s="80" t="str">
        <x:v>P1</x:v>
      </x:c>
      <x:c r="G102" s="74" t="str">
        <x:v>Đăng nhập donvi.user; kỳ phù hợp đang mở</x:v>
      </x:c>
      <x:c r="H102" s="74" t="str">
        <x:v>1. Mở http://10.10.79.248:8081/giam-sat-noc
2. Chờ tải danh sách
3. Đối chiếu đơn vị</x:v>
      </x:c>
      <x:c r="I102" s="74" t="str">
        <x:v>Dữ liệu Hà Nội</x:v>
      </x:c>
      <x:c r="J102" s="74" t="str">
        <x:v>Danh sách tải thành công và chỉ hiển thị dữ liệu trong phạm vi Hà Nội</x:v>
      </x:c>
      <x:c r="K102" s="83" t="str">
        <x:v>Chưa chạy</x:v>
      </x:c>
      <x:c r="L102" s="83" t="str"/>
      <x:c r="M102" s="86"/>
      <x:c r="N102" s="74" t="str"/>
      <x:c r="O102" s="74" t="str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ht="58" customHeight="1">
      <x:c r="A103" s="77" t="str">
        <x:v>TC-099</x:v>
      </x:c>
      <x:c r="B103" s="74" t="str">
        <x:v>Dữ liệu nghiệp vụ</x:v>
      </x:c>
      <x:c r="C103" s="74" t="str">
        <x:v>Giám sát NOC - thêm mới</x:v>
      </x:c>
      <x:c r="D103" s="74" t="str">
        <x:v>donvi.user</x:v>
      </x:c>
      <x:c r="E103" s="74" t="str">
        <x:v>Positive</x:v>
      </x:c>
      <x:c r="F103" s="80" t="str">
        <x:v>P1</x:v>
      </x:c>
      <x:c r="G103" s="74" t="str">
        <x:v>Có quyền tạo và kỳ chưa khóa</x:v>
      </x:c>
      <x:c r="H103" s="74" t="str">
        <x:v>1. Mở http://10.10.79.248:8081/giam-sat-noc
2. Bấm Thêm mới
3. Nhập đủ trường bắt buộc với hậu tố UAT
4. Lưu
5. Tải lại danh sách</x:v>
      </x:c>
      <x:c r="I103" s="74" t="str">
        <x:v>Bản ghi Giám sát NOC UAT_&lt;timestamp&gt;</x:v>
      </x:c>
      <x:c r="J103" s="74" t="str">
        <x:v>Lưu thành công; bản ghi xuất hiện sau khi tải lại và gắn đúng đơn vị</x:v>
      </x:c>
      <x:c r="K103" s="83" t="str">
        <x:v>Chưa chạy</x:v>
      </x:c>
      <x:c r="L103" s="83" t="str"/>
      <x:c r="M103" s="86"/>
      <x:c r="N103" s="74" t="str"/>
      <x:c r="O103" s="74" t="str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ht="58" customHeight="1">
      <x:c r="A104" s="77" t="str">
        <x:v>TC-100</x:v>
      </x:c>
      <x:c r="B104" s="74" t="str">
        <x:v>Dữ liệu nghiệp vụ</x:v>
      </x:c>
      <x:c r="C104" s="74" t="str">
        <x:v>Giám sát NOC - validation</x:v>
      </x:c>
      <x:c r="D104" s="74" t="str">
        <x:v>donvi.user</x:v>
      </x:c>
      <x:c r="E104" s="74" t="str">
        <x:v>Negative</x:v>
      </x:c>
      <x:c r="F104" s="80" t="str">
        <x:v>P1</x:v>
      </x:c>
      <x:c r="G104" s="74" t="str">
        <x:v>Mở form thêm mới</x:v>
      </x:c>
      <x:c r="H104" s="74" t="str">
        <x:v>1. Bỏ trống trường bắt buộc hoặc nhập giá trị ngoài giới hạn
2. Bấm Lưu</x:v>
      </x:c>
      <x:c r="I104" s="74" t="str">
        <x:v>Thông tin hệ thống giám sát phải thuộc đúng đơn vị</x:v>
      </x:c>
      <x:c r="J104" s="74" t="str">
        <x:v>Không lưu dữ liệu; trường lỗi được chỉ rõ và dữ liệu đã nhập hợp lệ không bị mất ngoài dự kiến</x:v>
      </x:c>
      <x:c r="K104" s="83" t="str">
        <x:v>Chưa chạy</x:v>
      </x:c>
      <x:c r="L104" s="83" t="str"/>
      <x:c r="M104" s="86"/>
      <x:c r="N104" s="74" t="str"/>
      <x:c r="O104" s="74" t="str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ht="58" customHeight="1">
      <x:c r="A105" s="77" t="str">
        <x:v>TC-101</x:v>
      </x:c>
      <x:c r="B105" s="74" t="str">
        <x:v>Dữ liệu nghiệp vụ</x:v>
      </x:c>
      <x:c r="C105" s="74" t="str">
        <x:v>Giám sát NOC - cập nhật</x:v>
      </x:c>
      <x:c r="D105" s="74" t="str">
        <x:v>donvi.user</x:v>
      </x:c>
      <x:c r="E105" s="74" t="str">
        <x:v>Positive</x:v>
      </x:c>
      <x:c r="F105" s="80" t="str">
        <x:v>P1</x:v>
      </x:c>
      <x:c r="G105" s="74" t="str">
        <x:v>Có bản ghi UAT và kỳ chưa khóa</x:v>
      </x:c>
      <x:c r="H105" s="74" t="str">
        <x:v>1. Mở bản ghi UAT
2. Thay đổi một trường cho phép
3. Lưu
4. Tải lại trang</x:v>
      </x:c>
      <x:c r="I105" s="74" t="str">
        <x:v>Thêm hậu tố _UPDATED</x:v>
      </x:c>
      <x:c r="J105" s="74" t="str">
        <x:v>Cập nhật thành công; giá trị mới được giữ sau khi tải lại và lịch sử/snapshot cũ không bị thay đổi ngoài quy tắc</x:v>
      </x:c>
      <x:c r="K105" s="83" t="str">
        <x:v>Chưa chạy</x:v>
      </x:c>
      <x:c r="L105" s="83" t="str"/>
      <x:c r="M105" s="86"/>
      <x:c r="N105" s="74" t="str"/>
      <x:c r="O105" s="74" t="str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ht="58" customHeight="1">
      <x:c r="A106" s="77" t="str">
        <x:v>TC-102</x:v>
      </x:c>
      <x:c r="B106" s="74" t="str">
        <x:v>Dữ liệu nghiệp vụ</x:v>
      </x:c>
      <x:c r="C106" s="74" t="str">
        <x:v>Camera quản lý - tải danh sách</x:v>
      </x:c>
      <x:c r="D106" s="74" t="str">
        <x:v>donvi.user</x:v>
      </x:c>
      <x:c r="E106" s="74" t="str">
        <x:v>Positive</x:v>
      </x:c>
      <x:c r="F106" s="80" t="str">
        <x:v>P1</x:v>
      </x:c>
      <x:c r="G106" s="74" t="str">
        <x:v>Đăng nhập donvi.user; kỳ phù hợp đang mở</x:v>
      </x:c>
      <x:c r="H106" s="74" t="str">
        <x:v>1. Mở http://10.10.79.248:8081/camera-quan-ly
2. Chờ tải danh sách
3. Đối chiếu đơn vị</x:v>
      </x:c>
      <x:c r="I106" s="74" t="str">
        <x:v>Dữ liệu Hà Nội</x:v>
      </x:c>
      <x:c r="J106" s="74" t="str">
        <x:v>Danh sách tải thành công và chỉ hiển thị dữ liệu trong phạm vi Hà Nội</x:v>
      </x:c>
      <x:c r="K106" s="83" t="str">
        <x:v>Chưa chạy</x:v>
      </x:c>
      <x:c r="L106" s="83" t="str"/>
      <x:c r="M106" s="86"/>
      <x:c r="N106" s="74" t="str"/>
      <x:c r="O106" s="74" t="str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ht="58" customHeight="1">
      <x:c r="A107" s="77" t="str">
        <x:v>TC-103</x:v>
      </x:c>
      <x:c r="B107" s="74" t="str">
        <x:v>Dữ liệu nghiệp vụ</x:v>
      </x:c>
      <x:c r="C107" s="74" t="str">
        <x:v>Camera quản lý - thêm mới</x:v>
      </x:c>
      <x:c r="D107" s="74" t="str">
        <x:v>donvi.user</x:v>
      </x:c>
      <x:c r="E107" s="74" t="str">
        <x:v>Positive</x:v>
      </x:c>
      <x:c r="F107" s="80" t="str">
        <x:v>P1</x:v>
      </x:c>
      <x:c r="G107" s="74" t="str">
        <x:v>Có quyền tạo và kỳ chưa khóa</x:v>
      </x:c>
      <x:c r="H107" s="74" t="str">
        <x:v>1. Mở http://10.10.79.248:8081/camera-quan-ly
2. Bấm Thêm mới
3. Nhập đủ trường bắt buộc với hậu tố UAT
4. Lưu
5. Tải lại danh sách</x:v>
      </x:c>
      <x:c r="I107" s="74" t="str">
        <x:v>Bản ghi Camera quản lý UAT_&lt;timestamp&gt;</x:v>
      </x:c>
      <x:c r="J107" s="74" t="str">
        <x:v>Lưu thành công; bản ghi xuất hiện sau khi tải lại và gắn đúng đơn vị</x:v>
      </x:c>
      <x:c r="K107" s="83" t="str">
        <x:v>Chưa chạy</x:v>
      </x:c>
      <x:c r="L107" s="83" t="str"/>
      <x:c r="M107" s="86"/>
      <x:c r="N107" s="74" t="str"/>
      <x:c r="O107" s="74" t="str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ht="58" customHeight="1">
      <x:c r="A108" s="77" t="str">
        <x:v>TC-104</x:v>
      </x:c>
      <x:c r="B108" s="74" t="str">
        <x:v>Dữ liệu nghiệp vụ</x:v>
      </x:c>
      <x:c r="C108" s="74" t="str">
        <x:v>Camera quản lý - validation</x:v>
      </x:c>
      <x:c r="D108" s="74" t="str">
        <x:v>donvi.user</x:v>
      </x:c>
      <x:c r="E108" s="74" t="str">
        <x:v>Negative</x:v>
      </x:c>
      <x:c r="F108" s="80" t="str">
        <x:v>P1</x:v>
      </x:c>
      <x:c r="G108" s="74" t="str">
        <x:v>Mở form thêm mới</x:v>
      </x:c>
      <x:c r="H108" s="74" t="str">
        <x:v>1. Bỏ trống trường bắt buộc hoặc nhập giá trị ngoài giới hạn
2. Bấm Lưu</x:v>
      </x:c>
      <x:c r="I108" s="74" t="str">
        <x:v>Thông tin camera và số lượng phải hợp lệ</x:v>
      </x:c>
      <x:c r="J108" s="74" t="str">
        <x:v>Không lưu dữ liệu; trường lỗi được chỉ rõ và dữ liệu đã nhập hợp lệ không bị mất ngoài dự kiến</x:v>
      </x:c>
      <x:c r="K108" s="83" t="str">
        <x:v>Chưa chạy</x:v>
      </x:c>
      <x:c r="L108" s="83" t="str"/>
      <x:c r="M108" s="86"/>
      <x:c r="N108" s="74" t="str"/>
      <x:c r="O108" s="74" t="str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ht="58" customHeight="1">
      <x:c r="A109" s="77" t="str">
        <x:v>TC-105</x:v>
      </x:c>
      <x:c r="B109" s="74" t="str">
        <x:v>Dữ liệu nghiệp vụ</x:v>
      </x:c>
      <x:c r="C109" s="74" t="str">
        <x:v>Camera quản lý - cập nhật</x:v>
      </x:c>
      <x:c r="D109" s="74" t="str">
        <x:v>donvi.user</x:v>
      </x:c>
      <x:c r="E109" s="74" t="str">
        <x:v>Positive</x:v>
      </x:c>
      <x:c r="F109" s="80" t="str">
        <x:v>P1</x:v>
      </x:c>
      <x:c r="G109" s="74" t="str">
        <x:v>Có bản ghi UAT và kỳ chưa khóa</x:v>
      </x:c>
      <x:c r="H109" s="74" t="str">
        <x:v>1. Mở bản ghi UAT
2. Thay đổi một trường cho phép
3. Lưu
4. Tải lại trang</x:v>
      </x:c>
      <x:c r="I109" s="74" t="str">
        <x:v>Thêm hậu tố _UPDATED</x:v>
      </x:c>
      <x:c r="J109" s="74" t="str">
        <x:v>Cập nhật thành công; giá trị mới được giữ sau khi tải lại và lịch sử/snapshot cũ không bị thay đổi ngoài quy tắc</x:v>
      </x:c>
      <x:c r="K109" s="83" t="str">
        <x:v>Chưa chạy</x:v>
      </x:c>
      <x:c r="L109" s="83" t="str"/>
      <x:c r="M109" s="86"/>
      <x:c r="N109" s="74" t="str"/>
      <x:c r="O109" s="74" t="str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ht="58" customHeight="1">
      <x:c r="A110" s="77" t="str">
        <x:v>TC-106</x:v>
      </x:c>
      <x:c r="B110" s="74" t="str">
        <x:v>Dữ liệu nghiệp vụ</x:v>
      </x:c>
      <x:c r="C110" s="74" t="str">
        <x:v>Camera thực trạng - tải danh sách</x:v>
      </x:c>
      <x:c r="D110" s="74" t="str">
        <x:v>donvi.user</x:v>
      </x:c>
      <x:c r="E110" s="74" t="str">
        <x:v>Positive</x:v>
      </x:c>
      <x:c r="F110" s="80" t="str">
        <x:v>P1</x:v>
      </x:c>
      <x:c r="G110" s="74" t="str">
        <x:v>Đăng nhập donvi.user; kỳ phù hợp đang mở</x:v>
      </x:c>
      <x:c r="H110" s="74" t="str">
        <x:v>1. Mở http://10.10.79.248:8081/camera-thuc-trang
2. Chờ tải danh sách
3. Đối chiếu đơn vị</x:v>
      </x:c>
      <x:c r="I110" s="74" t="str">
        <x:v>Dữ liệu Hà Nội</x:v>
      </x:c>
      <x:c r="J110" s="74" t="str">
        <x:v>Danh sách tải thành công và chỉ hiển thị dữ liệu trong phạm vi Hà Nội</x:v>
      </x:c>
      <x:c r="K110" s="83" t="str">
        <x:v>Chưa chạy</x:v>
      </x:c>
      <x:c r="L110" s="83" t="str"/>
      <x:c r="M110" s="86"/>
      <x:c r="N110" s="74" t="str"/>
      <x:c r="O110" s="74" t="str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ht="58" customHeight="1">
      <x:c r="A111" s="77" t="str">
        <x:v>TC-107</x:v>
      </x:c>
      <x:c r="B111" s="74" t="str">
        <x:v>Dữ liệu nghiệp vụ</x:v>
      </x:c>
      <x:c r="C111" s="74" t="str">
        <x:v>Camera thực trạng - thêm mới</x:v>
      </x:c>
      <x:c r="D111" s="74" t="str">
        <x:v>donvi.user</x:v>
      </x:c>
      <x:c r="E111" s="74" t="str">
        <x:v>Positive</x:v>
      </x:c>
      <x:c r="F111" s="80" t="str">
        <x:v>P1</x:v>
      </x:c>
      <x:c r="G111" s="74" t="str">
        <x:v>Có quyền tạo và kỳ chưa khóa</x:v>
      </x:c>
      <x:c r="H111" s="74" t="str">
        <x:v>1. Mở http://10.10.79.248:8081/camera-thuc-trang
2. Bấm Thêm mới
3. Nhập đủ trường bắt buộc với hậu tố UAT
4. Lưu
5. Tải lại danh sách</x:v>
      </x:c>
      <x:c r="I111" s="74" t="str">
        <x:v>Bản ghi Camera thực trạng UAT_&lt;timestamp&gt;</x:v>
      </x:c>
      <x:c r="J111" s="74" t="str">
        <x:v>Lưu thành công; bản ghi xuất hiện sau khi tải lại và gắn đúng đơn vị</x:v>
      </x:c>
      <x:c r="K111" s="83" t="str">
        <x:v>Chưa chạy</x:v>
      </x:c>
      <x:c r="L111" s="83" t="str"/>
      <x:c r="M111" s="86"/>
      <x:c r="N111" s="74" t="str"/>
      <x:c r="O111" s="74" t="str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ht="58" customHeight="1">
      <x:c r="A112" s="77" t="str">
        <x:v>TC-108</x:v>
      </x:c>
      <x:c r="B112" s="74" t="str">
        <x:v>Dữ liệu nghiệp vụ</x:v>
      </x:c>
      <x:c r="C112" s="74" t="str">
        <x:v>Camera thực trạng - validation</x:v>
      </x:c>
      <x:c r="D112" s="74" t="str">
        <x:v>donvi.user</x:v>
      </x:c>
      <x:c r="E112" s="74" t="str">
        <x:v>Negative</x:v>
      </x:c>
      <x:c r="F112" s="80" t="str">
        <x:v>P1</x:v>
      </x:c>
      <x:c r="G112" s="74" t="str">
        <x:v>Mở form thêm mới</x:v>
      </x:c>
      <x:c r="H112" s="74" t="str">
        <x:v>1. Bỏ trống trường bắt buộc hoặc nhập giá trị ngoài giới hạn
2. Bấm Lưu</x:v>
      </x:c>
      <x:c r="I112" s="74" t="str">
        <x:v>Thông tin vị trí/trạng thái phải hợp lệ</x:v>
      </x:c>
      <x:c r="J112" s="74" t="str">
        <x:v>Không lưu dữ liệu; trường lỗi được chỉ rõ và dữ liệu đã nhập hợp lệ không bị mất ngoài dự kiến</x:v>
      </x:c>
      <x:c r="K112" s="83" t="str">
        <x:v>Chưa chạy</x:v>
      </x:c>
      <x:c r="L112" s="83" t="str"/>
      <x:c r="M112" s="86"/>
      <x:c r="N112" s="74" t="str"/>
      <x:c r="O112" s="74" t="str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ht="58" customHeight="1">
      <x:c r="A113" s="77" t="str">
        <x:v>TC-109</x:v>
      </x:c>
      <x:c r="B113" s="74" t="str">
        <x:v>Dữ liệu nghiệp vụ</x:v>
      </x:c>
      <x:c r="C113" s="74" t="str">
        <x:v>Camera thực trạng - cập nhật</x:v>
      </x:c>
      <x:c r="D113" s="74" t="str">
        <x:v>donvi.user</x:v>
      </x:c>
      <x:c r="E113" s="74" t="str">
        <x:v>Positive</x:v>
      </x:c>
      <x:c r="F113" s="80" t="str">
        <x:v>P1</x:v>
      </x:c>
      <x:c r="G113" s="74" t="str">
        <x:v>Có bản ghi UAT và kỳ chưa khóa</x:v>
      </x:c>
      <x:c r="H113" s="74" t="str">
        <x:v>1. Mở bản ghi UAT
2. Thay đổi một trường cho phép
3. Lưu
4. Tải lại trang</x:v>
      </x:c>
      <x:c r="I113" s="74" t="str">
        <x:v>Thêm hậu tố _UPDATED</x:v>
      </x:c>
      <x:c r="J113" s="74" t="str">
        <x:v>Cập nhật thành công; giá trị mới được giữ sau khi tải lại và lịch sử/snapshot cũ không bị thay đổi ngoài quy tắc</x:v>
      </x:c>
      <x:c r="K113" s="83" t="str">
        <x:v>Chưa chạy</x:v>
      </x:c>
      <x:c r="L113" s="83" t="str"/>
      <x:c r="M113" s="86"/>
      <x:c r="N113" s="74" t="str"/>
      <x:c r="O113" s="74" t="str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ht="58" customHeight="1">
      <x:c r="A114" s="77" t="str">
        <x:v>TC-110</x:v>
      </x:c>
      <x:c r="B114" s="74" t="str">
        <x:v>Dữ liệu nghiệp vụ</x:v>
      </x:c>
      <x:c r="C114" s="74" t="str">
        <x:v>Dự án CNTT - tải danh sách</x:v>
      </x:c>
      <x:c r="D114" s="74" t="str">
        <x:v>donvi.user</x:v>
      </x:c>
      <x:c r="E114" s="74" t="str">
        <x:v>Positive</x:v>
      </x:c>
      <x:c r="F114" s="80" t="str">
        <x:v>P1</x:v>
      </x:c>
      <x:c r="G114" s="74" t="str">
        <x:v>Đăng nhập donvi.user; kỳ phù hợp đang mở</x:v>
      </x:c>
      <x:c r="H114" s="74" t="str">
        <x:v>1. Mở http://10.10.79.248:8081/du-an-cntt
2. Chờ tải danh sách
3. Đối chiếu đơn vị</x:v>
      </x:c>
      <x:c r="I114" s="74" t="str">
        <x:v>Dữ liệu Hà Nội</x:v>
      </x:c>
      <x:c r="J114" s="74" t="str">
        <x:v>Danh sách tải thành công và chỉ hiển thị dữ liệu trong phạm vi Hà Nội</x:v>
      </x:c>
      <x:c r="K114" s="83" t="str">
        <x:v>Chưa chạy</x:v>
      </x:c>
      <x:c r="L114" s="83" t="str"/>
      <x:c r="M114" s="86"/>
      <x:c r="N114" s="74" t="str"/>
      <x:c r="O114" s="74" t="str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ht="58" customHeight="1">
      <x:c r="A115" s="77" t="str">
        <x:v>TC-111</x:v>
      </x:c>
      <x:c r="B115" s="74" t="str">
        <x:v>Dữ liệu nghiệp vụ</x:v>
      </x:c>
      <x:c r="C115" s="74" t="str">
        <x:v>Dự án CNTT - thêm mới</x:v>
      </x:c>
      <x:c r="D115" s="74" t="str">
        <x:v>donvi.user</x:v>
      </x:c>
      <x:c r="E115" s="74" t="str">
        <x:v>Positive</x:v>
      </x:c>
      <x:c r="F115" s="80" t="str">
        <x:v>P1</x:v>
      </x:c>
      <x:c r="G115" s="74" t="str">
        <x:v>Có quyền tạo và kỳ chưa khóa</x:v>
      </x:c>
      <x:c r="H115" s="74" t="str">
        <x:v>1. Mở http://10.10.79.248:8081/du-an-cntt
2. Bấm Thêm mới
3. Nhập đủ trường bắt buộc với hậu tố UAT
4. Lưu
5. Tải lại danh sách</x:v>
      </x:c>
      <x:c r="I115" s="74" t="str">
        <x:v>Bản ghi Dự án CNTT UAT_&lt;timestamp&gt;</x:v>
      </x:c>
      <x:c r="J115" s="74" t="str">
        <x:v>Lưu thành công; bản ghi xuất hiện sau khi tải lại và gắn đúng đơn vị</x:v>
      </x:c>
      <x:c r="K115" s="83" t="str">
        <x:v>Chưa chạy</x:v>
      </x:c>
      <x:c r="L115" s="83" t="str"/>
      <x:c r="M115" s="86"/>
      <x:c r="N115" s="74" t="str"/>
      <x:c r="O115" s="74" t="str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ht="58" customHeight="1">
      <x:c r="A116" s="77" t="str">
        <x:v>TC-112</x:v>
      </x:c>
      <x:c r="B116" s="74" t="str">
        <x:v>Dữ liệu nghiệp vụ</x:v>
      </x:c>
      <x:c r="C116" s="74" t="str">
        <x:v>Dự án CNTT - validation</x:v>
      </x:c>
      <x:c r="D116" s="74" t="str">
        <x:v>donvi.user</x:v>
      </x:c>
      <x:c r="E116" s="74" t="str">
        <x:v>Negative</x:v>
      </x:c>
      <x:c r="F116" s="80" t="str">
        <x:v>P1</x:v>
      </x:c>
      <x:c r="G116" s="74" t="str">
        <x:v>Mở form thêm mới</x:v>
      </x:c>
      <x:c r="H116" s="74" t="str">
        <x:v>1. Bỏ trống trường bắt buộc hoặc nhập giá trị ngoài giới hạn
2. Bấm Lưu</x:v>
      </x:c>
      <x:c r="I116" s="74" t="str">
        <x:v>Tên dự án và thông tin bắt buộc phải hợp lệ</x:v>
      </x:c>
      <x:c r="J116" s="74" t="str">
        <x:v>Không lưu dữ liệu; trường lỗi được chỉ rõ và dữ liệu đã nhập hợp lệ không bị mất ngoài dự kiến</x:v>
      </x:c>
      <x:c r="K116" s="83" t="str">
        <x:v>Chưa chạy</x:v>
      </x:c>
      <x:c r="L116" s="83" t="str"/>
      <x:c r="M116" s="86"/>
      <x:c r="N116" s="74" t="str"/>
      <x:c r="O116" s="74" t="str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ht="58" customHeight="1">
      <x:c r="A117" s="77" t="str">
        <x:v>TC-113</x:v>
      </x:c>
      <x:c r="B117" s="74" t="str">
        <x:v>Dữ liệu nghiệp vụ</x:v>
      </x:c>
      <x:c r="C117" s="74" t="str">
        <x:v>Dự án CNTT - cập nhật</x:v>
      </x:c>
      <x:c r="D117" s="74" t="str">
        <x:v>donvi.user</x:v>
      </x:c>
      <x:c r="E117" s="74" t="str">
        <x:v>Positive</x:v>
      </x:c>
      <x:c r="F117" s="80" t="str">
        <x:v>P1</x:v>
      </x:c>
      <x:c r="G117" s="74" t="str">
        <x:v>Có bản ghi UAT và kỳ chưa khóa</x:v>
      </x:c>
      <x:c r="H117" s="74" t="str">
        <x:v>1. Mở bản ghi UAT
2. Thay đổi một trường cho phép
3. Lưu
4. Tải lại trang</x:v>
      </x:c>
      <x:c r="I117" s="74" t="str">
        <x:v>Thêm hậu tố _UPDATED</x:v>
      </x:c>
      <x:c r="J117" s="74" t="str">
        <x:v>Cập nhật thành công; giá trị mới được giữ sau khi tải lại và lịch sử/snapshot cũ không bị thay đổi ngoài quy tắc</x:v>
      </x:c>
      <x:c r="K117" s="83" t="str">
        <x:v>Chưa chạy</x:v>
      </x:c>
      <x:c r="L117" s="83" t="str"/>
      <x:c r="M117" s="86"/>
      <x:c r="N117" s="74" t="str"/>
      <x:c r="O117" s="74" t="str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ht="58" customHeight="1">
      <x:c r="A118" s="77" t="str">
        <x:v>TC-114</x:v>
      </x:c>
      <x:c r="B118" s="74" t="str">
        <x:v>Dữ liệu nghiệp vụ</x:v>
      </x:c>
      <x:c r="C118" s="74" t="str">
        <x:v>Văn bản QPPL - tải danh sách</x:v>
      </x:c>
      <x:c r="D118" s="74" t="str">
        <x:v>donvi.user</x:v>
      </x:c>
      <x:c r="E118" s="74" t="str">
        <x:v>Positive</x:v>
      </x:c>
      <x:c r="F118" s="80" t="str">
        <x:v>P1</x:v>
      </x:c>
      <x:c r="G118" s="74" t="str">
        <x:v>Đăng nhập donvi.user; kỳ phù hợp đang mở</x:v>
      </x:c>
      <x:c r="H118" s="74" t="str">
        <x:v>1. Mở http://10.10.79.248:8081/van-ban-qppl
2. Chờ tải danh sách
3. Đối chiếu đơn vị</x:v>
      </x:c>
      <x:c r="I118" s="74" t="str">
        <x:v>Dữ liệu Hà Nội</x:v>
      </x:c>
      <x:c r="J118" s="74" t="str">
        <x:v>Danh sách tải thành công và chỉ hiển thị dữ liệu trong phạm vi Hà Nội</x:v>
      </x:c>
      <x:c r="K118" s="83" t="str">
        <x:v>Chưa chạy</x:v>
      </x:c>
      <x:c r="L118" s="83" t="str"/>
      <x:c r="M118" s="86"/>
      <x:c r="N118" s="74" t="str"/>
      <x:c r="O118" s="74" t="str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ht="58" customHeight="1">
      <x:c r="A119" s="77" t="str">
        <x:v>TC-115</x:v>
      </x:c>
      <x:c r="B119" s="74" t="str">
        <x:v>Dữ liệu nghiệp vụ</x:v>
      </x:c>
      <x:c r="C119" s="74" t="str">
        <x:v>Văn bản QPPL - thêm mới</x:v>
      </x:c>
      <x:c r="D119" s="74" t="str">
        <x:v>donvi.user</x:v>
      </x:c>
      <x:c r="E119" s="74" t="str">
        <x:v>Positive</x:v>
      </x:c>
      <x:c r="F119" s="80" t="str">
        <x:v>P1</x:v>
      </x:c>
      <x:c r="G119" s="74" t="str">
        <x:v>Có quyền tạo và kỳ chưa khóa</x:v>
      </x:c>
      <x:c r="H119" s="74" t="str">
        <x:v>1. Mở http://10.10.79.248:8081/van-ban-qppl
2. Bấm Thêm mới
3. Nhập đủ trường bắt buộc với hậu tố UAT
4. Lưu
5. Tải lại danh sách</x:v>
      </x:c>
      <x:c r="I119" s="74" t="str">
        <x:v>Bản ghi Văn bản QPPL UAT_&lt;timestamp&gt;</x:v>
      </x:c>
      <x:c r="J119" s="74" t="str">
        <x:v>Lưu thành công; bản ghi xuất hiện sau khi tải lại và gắn đúng đơn vị</x:v>
      </x:c>
      <x:c r="K119" s="83" t="str">
        <x:v>Chưa chạy</x:v>
      </x:c>
      <x:c r="L119" s="83" t="str"/>
      <x:c r="M119" s="86"/>
      <x:c r="N119" s="74" t="str"/>
      <x:c r="O119" s="74" t="str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ht="58" customHeight="1">
      <x:c r="A120" s="77" t="str">
        <x:v>TC-116</x:v>
      </x:c>
      <x:c r="B120" s="74" t="str">
        <x:v>Dữ liệu nghiệp vụ</x:v>
      </x:c>
      <x:c r="C120" s="74" t="str">
        <x:v>Văn bản QPPL - validation</x:v>
      </x:c>
      <x:c r="D120" s="74" t="str">
        <x:v>donvi.user</x:v>
      </x:c>
      <x:c r="E120" s="74" t="str">
        <x:v>Negative</x:v>
      </x:c>
      <x:c r="F120" s="80" t="str">
        <x:v>P1</x:v>
      </x:c>
      <x:c r="G120" s="74" t="str">
        <x:v>Mở form thêm mới</x:v>
      </x:c>
      <x:c r="H120" s="74" t="str">
        <x:v>1. Bỏ trống trường bắt buộc hoặc nhập giá trị ngoài giới hạn
2. Bấm Lưu</x:v>
      </x:c>
      <x:c r="I120" s="74" t="str">
        <x:v>Số/ký hiệu, tên văn bản và ngày ban hành phải hợp lệ</x:v>
      </x:c>
      <x:c r="J120" s="74" t="str">
        <x:v>Không lưu dữ liệu; trường lỗi được chỉ rõ và dữ liệu đã nhập hợp lệ không bị mất ngoài dự kiến</x:v>
      </x:c>
      <x:c r="K120" s="83" t="str">
        <x:v>Chưa chạy</x:v>
      </x:c>
      <x:c r="L120" s="83" t="str"/>
      <x:c r="M120" s="86"/>
      <x:c r="N120" s="74" t="str"/>
      <x:c r="O120" s="74" t="str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ht="58" customHeight="1">
      <x:c r="A121" s="77" t="str">
        <x:v>TC-117</x:v>
      </x:c>
      <x:c r="B121" s="74" t="str">
        <x:v>Dữ liệu nghiệp vụ</x:v>
      </x:c>
      <x:c r="C121" s="74" t="str">
        <x:v>Văn bản QPPL - cập nhật</x:v>
      </x:c>
      <x:c r="D121" s="74" t="str">
        <x:v>donvi.user</x:v>
      </x:c>
      <x:c r="E121" s="74" t="str">
        <x:v>Positive</x:v>
      </x:c>
      <x:c r="F121" s="80" t="str">
        <x:v>P1</x:v>
      </x:c>
      <x:c r="G121" s="74" t="str">
        <x:v>Có bản ghi UAT và kỳ chưa khóa</x:v>
      </x:c>
      <x:c r="H121" s="74" t="str">
        <x:v>1. Mở bản ghi UAT
2. Thay đổi một trường cho phép
3. Lưu
4. Tải lại trang</x:v>
      </x:c>
      <x:c r="I121" s="74" t="str">
        <x:v>Thêm hậu tố _UPDATED</x:v>
      </x:c>
      <x:c r="J121" s="74" t="str">
        <x:v>Cập nhật thành công; giá trị mới được giữ sau khi tải lại và lịch sử/snapshot cũ không bị thay đổi ngoài quy tắc</x:v>
      </x:c>
      <x:c r="K121" s="83" t="str">
        <x:v>Chưa chạy</x:v>
      </x:c>
      <x:c r="L121" s="83" t="str"/>
      <x:c r="M121" s="86"/>
      <x:c r="N121" s="74" t="str"/>
      <x:c r="O121" s="74" t="str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ht="58" customHeight="1">
      <x:c r="A122" s="77" t="str">
        <x:v>TC-118</x:v>
      </x:c>
      <x:c r="B122" s="74" t="str">
        <x:v>Dữ liệu nghiệp vụ</x:v>
      </x:c>
      <x:c r="C122" s="74" t="str">
        <x:v>Giám sát SOC - tải danh sách</x:v>
      </x:c>
      <x:c r="D122" s="74" t="str">
        <x:v>donvi.user</x:v>
      </x:c>
      <x:c r="E122" s="74" t="str">
        <x:v>Positive</x:v>
      </x:c>
      <x:c r="F122" s="80" t="str">
        <x:v>P1</x:v>
      </x:c>
      <x:c r="G122" s="74" t="str">
        <x:v>Đăng nhập donvi.user; kỳ phù hợp đang mở</x:v>
      </x:c>
      <x:c r="H122" s="74" t="str">
        <x:v>1. Mở http://10.10.79.248:8081/giam-sat-soc
2. Chờ tải danh sách
3. Đối chiếu đơn vị</x:v>
      </x:c>
      <x:c r="I122" s="74" t="str">
        <x:v>Dữ liệu Hà Nội</x:v>
      </x:c>
      <x:c r="J122" s="74" t="str">
        <x:v>Danh sách tải thành công và chỉ hiển thị dữ liệu trong phạm vi Hà Nội</x:v>
      </x:c>
      <x:c r="K122" s="83" t="str">
        <x:v>Chưa chạy</x:v>
      </x:c>
      <x:c r="L122" s="83" t="str"/>
      <x:c r="M122" s="86"/>
      <x:c r="N122" s="74" t="str"/>
      <x:c r="O122" s="74" t="str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ht="58" customHeight="1">
      <x:c r="A123" s="77" t="str">
        <x:v>TC-119</x:v>
      </x:c>
      <x:c r="B123" s="74" t="str">
        <x:v>Dữ liệu nghiệp vụ</x:v>
      </x:c>
      <x:c r="C123" s="74" t="str">
        <x:v>Giám sát SOC - thêm mới</x:v>
      </x:c>
      <x:c r="D123" s="74" t="str">
        <x:v>donvi.user</x:v>
      </x:c>
      <x:c r="E123" s="74" t="str">
        <x:v>Positive</x:v>
      </x:c>
      <x:c r="F123" s="80" t="str">
        <x:v>P1</x:v>
      </x:c>
      <x:c r="G123" s="74" t="str">
        <x:v>Có quyền tạo và kỳ chưa khóa</x:v>
      </x:c>
      <x:c r="H123" s="74" t="str">
        <x:v>1. Mở http://10.10.79.248:8081/giam-sat-soc
2. Bấm Thêm mới
3. Nhập đủ trường bắt buộc với hậu tố UAT
4. Lưu
5. Tải lại danh sách</x:v>
      </x:c>
      <x:c r="I123" s="74" t="str">
        <x:v>Bản ghi Giám sát SOC UAT_&lt;timestamp&gt;</x:v>
      </x:c>
      <x:c r="J123" s="74" t="str">
        <x:v>Lưu thành công; bản ghi xuất hiện sau khi tải lại và gắn đúng đơn vị</x:v>
      </x:c>
      <x:c r="K123" s="83" t="str">
        <x:v>Chưa chạy</x:v>
      </x:c>
      <x:c r="L123" s="83" t="str"/>
      <x:c r="M123" s="86"/>
      <x:c r="N123" s="74" t="str"/>
      <x:c r="O123" s="74" t="str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ht="58" customHeight="1">
      <x:c r="A124" s="77" t="str">
        <x:v>TC-120</x:v>
      </x:c>
      <x:c r="B124" s="74" t="str">
        <x:v>Dữ liệu nghiệp vụ</x:v>
      </x:c>
      <x:c r="C124" s="74" t="str">
        <x:v>Giám sát SOC - validation</x:v>
      </x:c>
      <x:c r="D124" s="74" t="str">
        <x:v>donvi.user</x:v>
      </x:c>
      <x:c r="E124" s="74" t="str">
        <x:v>Negative</x:v>
      </x:c>
      <x:c r="F124" s="80" t="str">
        <x:v>P1</x:v>
      </x:c>
      <x:c r="G124" s="74" t="str">
        <x:v>Mở form thêm mới</x:v>
      </x:c>
      <x:c r="H124" s="74" t="str">
        <x:v>1. Bỏ trống trường bắt buộc hoặc nhập giá trị ngoài giới hạn
2. Bấm Lưu</x:v>
      </x:c>
      <x:c r="I124" s="74" t="str">
        <x:v>Thông tin giám sát an toàn thông tin phải hợp lệ</x:v>
      </x:c>
      <x:c r="J124" s="74" t="str">
        <x:v>Không lưu dữ liệu; trường lỗi được chỉ rõ và dữ liệu đã nhập hợp lệ không bị mất ngoài dự kiến</x:v>
      </x:c>
      <x:c r="K124" s="83" t="str">
        <x:v>Chưa chạy</x:v>
      </x:c>
      <x:c r="L124" s="83" t="str"/>
      <x:c r="M124" s="86"/>
      <x:c r="N124" s="74" t="str"/>
      <x:c r="O124" s="74" t="str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ht="58" customHeight="1">
      <x:c r="A125" s="77" t="str">
        <x:v>TC-121</x:v>
      </x:c>
      <x:c r="B125" s="74" t="str">
        <x:v>Dữ liệu nghiệp vụ</x:v>
      </x:c>
      <x:c r="C125" s="74" t="str">
        <x:v>Giám sát SOC - cập nhật</x:v>
      </x:c>
      <x:c r="D125" s="74" t="str">
        <x:v>donvi.user</x:v>
      </x:c>
      <x:c r="E125" s="74" t="str">
        <x:v>Positive</x:v>
      </x:c>
      <x:c r="F125" s="80" t="str">
        <x:v>P1</x:v>
      </x:c>
      <x:c r="G125" s="74" t="str">
        <x:v>Có bản ghi UAT và kỳ chưa khóa</x:v>
      </x:c>
      <x:c r="H125" s="74" t="str">
        <x:v>1. Mở bản ghi UAT
2. Thay đổi một trường cho phép
3. Lưu
4. Tải lại trang</x:v>
      </x:c>
      <x:c r="I125" s="74" t="str">
        <x:v>Thêm hậu tố _UPDATED</x:v>
      </x:c>
      <x:c r="J125" s="74" t="str">
        <x:v>Cập nhật thành công; giá trị mới được giữ sau khi tải lại và lịch sử/snapshot cũ không bị thay đổi ngoài quy tắc</x:v>
      </x:c>
      <x:c r="K125" s="83" t="str">
        <x:v>Chưa chạy</x:v>
      </x:c>
      <x:c r="L125" s="83" t="str"/>
      <x:c r="M125" s="86"/>
      <x:c r="N125" s="74" t="str"/>
      <x:c r="O125" s="74" t="str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ht="58" customHeight="1">
      <x:c r="A126" s="77" t="str">
        <x:v>TC-122</x:v>
      </x:c>
      <x:c r="B126" s="74" t="str">
        <x:v>Dữ liệu nghiệp vụ</x:v>
      </x:c>
      <x:c r="C126" s="74" t="str">
        <x:v>ATTT HTTT vận hành - tải danh sách</x:v>
      </x:c>
      <x:c r="D126" s="74" t="str">
        <x:v>donvi.user</x:v>
      </x:c>
      <x:c r="E126" s="74" t="str">
        <x:v>Positive</x:v>
      </x:c>
      <x:c r="F126" s="80" t="str">
        <x:v>P1</x:v>
      </x:c>
      <x:c r="G126" s="74" t="str">
        <x:v>Đăng nhập donvi.user; kỳ phù hợp đang mở</x:v>
      </x:c>
      <x:c r="H126" s="74" t="str">
        <x:v>1. Mở http://10.10.79.248:8081/attt-httt-van-hanh
2. Chờ tải danh sách
3. Đối chiếu đơn vị</x:v>
      </x:c>
      <x:c r="I126" s="74" t="str">
        <x:v>Dữ liệu Hà Nội</x:v>
      </x:c>
      <x:c r="J126" s="74" t="str">
        <x:v>Danh sách tải thành công và chỉ hiển thị dữ liệu trong phạm vi Hà Nội</x:v>
      </x:c>
      <x:c r="K126" s="83" t="str">
        <x:v>Chưa chạy</x:v>
      </x:c>
      <x:c r="L126" s="83" t="str"/>
      <x:c r="M126" s="86"/>
      <x:c r="N126" s="74" t="str"/>
      <x:c r="O126" s="74" t="str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ht="58" customHeight="1">
      <x:c r="A127" s="77" t="str">
        <x:v>TC-123</x:v>
      </x:c>
      <x:c r="B127" s="74" t="str">
        <x:v>Dữ liệu nghiệp vụ</x:v>
      </x:c>
      <x:c r="C127" s="74" t="str">
        <x:v>ATTT HTTT vận hành - thêm mới</x:v>
      </x:c>
      <x:c r="D127" s="74" t="str">
        <x:v>donvi.user</x:v>
      </x:c>
      <x:c r="E127" s="74" t="str">
        <x:v>Positive</x:v>
      </x:c>
      <x:c r="F127" s="80" t="str">
        <x:v>P1</x:v>
      </x:c>
      <x:c r="G127" s="74" t="str">
        <x:v>Có quyền tạo và kỳ chưa khóa</x:v>
      </x:c>
      <x:c r="H127" s="74" t="str">
        <x:v>1. Mở http://10.10.79.248:8081/attt-httt-van-hanh
2. Bấm Thêm mới
3. Nhập đủ trường bắt buộc với hậu tố UAT
4. Lưu
5. Tải lại danh sách</x:v>
      </x:c>
      <x:c r="I127" s="74" t="str">
        <x:v>Bản ghi ATTT HTTT vận hành UAT_&lt;timestamp&gt;</x:v>
      </x:c>
      <x:c r="J127" s="74" t="str">
        <x:v>Lưu thành công; bản ghi xuất hiện sau khi tải lại và gắn đúng đơn vị</x:v>
      </x:c>
      <x:c r="K127" s="83" t="str">
        <x:v>Chưa chạy</x:v>
      </x:c>
      <x:c r="L127" s="83" t="str"/>
      <x:c r="M127" s="86"/>
      <x:c r="N127" s="74" t="str"/>
      <x:c r="O127" s="74" t="str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ht="58" customHeight="1">
      <x:c r="A128" s="77" t="str">
        <x:v>TC-124</x:v>
      </x:c>
      <x:c r="B128" s="74" t="str">
        <x:v>Dữ liệu nghiệp vụ</x:v>
      </x:c>
      <x:c r="C128" s="74" t="str">
        <x:v>ATTT HTTT vận hành - validation</x:v>
      </x:c>
      <x:c r="D128" s="74" t="str">
        <x:v>donvi.user</x:v>
      </x:c>
      <x:c r="E128" s="74" t="str">
        <x:v>Negative</x:v>
      </x:c>
      <x:c r="F128" s="80" t="str">
        <x:v>P1</x:v>
      </x:c>
      <x:c r="G128" s="74" t="str">
        <x:v>Mở form thêm mới</x:v>
      </x:c>
      <x:c r="H128" s="74" t="str">
        <x:v>1. Bỏ trống trường bắt buộc hoặc nhập giá trị ngoài giới hạn
2. Bấm Lưu</x:v>
      </x:c>
      <x:c r="I128" s="74" t="str">
        <x:v>Dữ liệu đánh giá hệ thống đang vận hành phải hợp lệ</x:v>
      </x:c>
      <x:c r="J128" s="74" t="str">
        <x:v>Không lưu dữ liệu; trường lỗi được chỉ rõ và dữ liệu đã nhập hợp lệ không bị mất ngoài dự kiến</x:v>
      </x:c>
      <x:c r="K128" s="83" t="str">
        <x:v>Chưa chạy</x:v>
      </x:c>
      <x:c r="L128" s="83" t="str"/>
      <x:c r="M128" s="86"/>
      <x:c r="N128" s="74" t="str"/>
      <x:c r="O128" s="74" t="str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ht="58" customHeight="1">
      <x:c r="A129" s="77" t="str">
        <x:v>TC-125</x:v>
      </x:c>
      <x:c r="B129" s="74" t="str">
        <x:v>Dữ liệu nghiệp vụ</x:v>
      </x:c>
      <x:c r="C129" s="74" t="str">
        <x:v>ATTT HTTT vận hành - cập nhật</x:v>
      </x:c>
      <x:c r="D129" s="74" t="str">
        <x:v>donvi.user</x:v>
      </x:c>
      <x:c r="E129" s="74" t="str">
        <x:v>Positive</x:v>
      </x:c>
      <x:c r="F129" s="80" t="str">
        <x:v>P1</x:v>
      </x:c>
      <x:c r="G129" s="74" t="str">
        <x:v>Có bản ghi UAT và kỳ chưa khóa</x:v>
      </x:c>
      <x:c r="H129" s="74" t="str">
        <x:v>1. Mở bản ghi UAT
2. Thay đổi một trường cho phép
3. Lưu
4. Tải lại trang</x:v>
      </x:c>
      <x:c r="I129" s="74" t="str">
        <x:v>Thêm hậu tố _UPDATED</x:v>
      </x:c>
      <x:c r="J129" s="74" t="str">
        <x:v>Cập nhật thành công; giá trị mới được giữ sau khi tải lại và lịch sử/snapshot cũ không bị thay đổi ngoài quy tắc</x:v>
      </x:c>
      <x:c r="K129" s="83" t="str">
        <x:v>Chưa chạy</x:v>
      </x:c>
      <x:c r="L129" s="83" t="str"/>
      <x:c r="M129" s="86"/>
      <x:c r="N129" s="74" t="str"/>
      <x:c r="O129" s="74" t="str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ht="58" customHeight="1">
      <x:c r="A130" s="77" t="str">
        <x:v>TC-126</x:v>
      </x:c>
      <x:c r="B130" s="74" t="str">
        <x:v>Dữ liệu nghiệp vụ</x:v>
      </x:c>
      <x:c r="C130" s="74" t="str">
        <x:v>ATTT HTTT đầu tư - tải danh sách</x:v>
      </x:c>
      <x:c r="D130" s="74" t="str">
        <x:v>donvi.user</x:v>
      </x:c>
      <x:c r="E130" s="74" t="str">
        <x:v>Positive</x:v>
      </x:c>
      <x:c r="F130" s="80" t="str">
        <x:v>P1</x:v>
      </x:c>
      <x:c r="G130" s="74" t="str">
        <x:v>Đăng nhập donvi.user; kỳ phù hợp đang mở</x:v>
      </x:c>
      <x:c r="H130" s="74" t="str">
        <x:v>1. Mở http://10.10.79.248:8081/attt-httt-dau-tu
2. Chờ tải danh sách
3. Đối chiếu đơn vị</x:v>
      </x:c>
      <x:c r="I130" s="74" t="str">
        <x:v>Dữ liệu Hà Nội</x:v>
      </x:c>
      <x:c r="J130" s="74" t="str">
        <x:v>Danh sách tải thành công và chỉ hiển thị dữ liệu trong phạm vi Hà Nội</x:v>
      </x:c>
      <x:c r="K130" s="83" t="str">
        <x:v>Chưa chạy</x:v>
      </x:c>
      <x:c r="L130" s="83" t="str"/>
      <x:c r="M130" s="86"/>
      <x:c r="N130" s="74" t="str"/>
      <x:c r="O130" s="74" t="str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ht="58" customHeight="1">
      <x:c r="A131" s="77" t="str">
        <x:v>TC-127</x:v>
      </x:c>
      <x:c r="B131" s="74" t="str">
        <x:v>Dữ liệu nghiệp vụ</x:v>
      </x:c>
      <x:c r="C131" s="74" t="str">
        <x:v>ATTT HTTT đầu tư - thêm mới</x:v>
      </x:c>
      <x:c r="D131" s="74" t="str">
        <x:v>donvi.user</x:v>
      </x:c>
      <x:c r="E131" s="74" t="str">
        <x:v>Positive</x:v>
      </x:c>
      <x:c r="F131" s="80" t="str">
        <x:v>P1</x:v>
      </x:c>
      <x:c r="G131" s="74" t="str">
        <x:v>Có quyền tạo và kỳ chưa khóa</x:v>
      </x:c>
      <x:c r="H131" s="74" t="str">
        <x:v>1. Mở http://10.10.79.248:8081/attt-httt-dau-tu
2. Bấm Thêm mới
3. Nhập đủ trường bắt buộc với hậu tố UAT
4. Lưu
5. Tải lại danh sách</x:v>
      </x:c>
      <x:c r="I131" s="74" t="str">
        <x:v>Bản ghi ATTT HTTT đầu tư UAT_&lt;timestamp&gt;</x:v>
      </x:c>
      <x:c r="J131" s="74" t="str">
        <x:v>Lưu thành công; bản ghi xuất hiện sau khi tải lại và gắn đúng đơn vị</x:v>
      </x:c>
      <x:c r="K131" s="83" t="str">
        <x:v>Chưa chạy</x:v>
      </x:c>
      <x:c r="L131" s="83" t="str"/>
      <x:c r="M131" s="86"/>
      <x:c r="N131" s="74" t="str"/>
      <x:c r="O131" s="74" t="str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ht="58" customHeight="1">
      <x:c r="A132" s="77" t="str">
        <x:v>TC-128</x:v>
      </x:c>
      <x:c r="B132" s="74" t="str">
        <x:v>Dữ liệu nghiệp vụ</x:v>
      </x:c>
      <x:c r="C132" s="74" t="str">
        <x:v>ATTT HTTT đầu tư - validation</x:v>
      </x:c>
      <x:c r="D132" s="74" t="str">
        <x:v>donvi.user</x:v>
      </x:c>
      <x:c r="E132" s="74" t="str">
        <x:v>Negative</x:v>
      </x:c>
      <x:c r="F132" s="80" t="str">
        <x:v>P1</x:v>
      </x:c>
      <x:c r="G132" s="74" t="str">
        <x:v>Mở form thêm mới</x:v>
      </x:c>
      <x:c r="H132" s="74" t="str">
        <x:v>1. Bỏ trống trường bắt buộc hoặc nhập giá trị ngoài giới hạn
2. Bấm Lưu</x:v>
      </x:c>
      <x:c r="I132" s="74" t="str">
        <x:v>Dữ liệu an toàn thông tin của dự án đầu tư phải hợp lệ</x:v>
      </x:c>
      <x:c r="J132" s="74" t="str">
        <x:v>Không lưu dữ liệu; trường lỗi được chỉ rõ và dữ liệu đã nhập hợp lệ không bị mất ngoài dự kiến</x:v>
      </x:c>
      <x:c r="K132" s="83" t="str">
        <x:v>Chưa chạy</x:v>
      </x:c>
      <x:c r="L132" s="83" t="str"/>
      <x:c r="M132" s="86"/>
      <x:c r="N132" s="74" t="str"/>
      <x:c r="O132" s="74" t="str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ht="58" customHeight="1">
      <x:c r="A133" s="77" t="str">
        <x:v>TC-129</x:v>
      </x:c>
      <x:c r="B133" s="74" t="str">
        <x:v>Dữ liệu nghiệp vụ</x:v>
      </x:c>
      <x:c r="C133" s="74" t="str">
        <x:v>ATTT HTTT đầu tư - cập nhật</x:v>
      </x:c>
      <x:c r="D133" s="74" t="str">
        <x:v>donvi.user</x:v>
      </x:c>
      <x:c r="E133" s="74" t="str">
        <x:v>Positive</x:v>
      </x:c>
      <x:c r="F133" s="80" t="str">
        <x:v>P1</x:v>
      </x:c>
      <x:c r="G133" s="74" t="str">
        <x:v>Có bản ghi UAT và kỳ chưa khóa</x:v>
      </x:c>
      <x:c r="H133" s="74" t="str">
        <x:v>1. Mở bản ghi UAT
2. Thay đổi một trường cho phép
3. Lưu
4. Tải lại trang</x:v>
      </x:c>
      <x:c r="I133" s="74" t="str">
        <x:v>Thêm hậu tố _UPDATED</x:v>
      </x:c>
      <x:c r="J133" s="74" t="str">
        <x:v>Cập nhật thành công; giá trị mới được giữ sau khi tải lại và lịch sử/snapshot cũ không bị thay đổi ngoài quy tắc</x:v>
      </x:c>
      <x:c r="K133" s="83" t="str">
        <x:v>Chưa chạy</x:v>
      </x:c>
      <x:c r="L133" s="83" t="str"/>
      <x:c r="M133" s="86"/>
      <x:c r="N133" s="74" t="str"/>
      <x:c r="O133" s="74" t="str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ht="58" customHeight="1">
      <x:c r="A134" s="77" t="str">
        <x:v>TC-130</x:v>
      </x:c>
      <x:c r="B134" s="74" t="str">
        <x:v>Dữ liệu nghiệp vụ</x:v>
      </x:c>
      <x:c r="C134" s="74" t="str">
        <x:v>Giải pháp ATTT - tải danh sách</x:v>
      </x:c>
      <x:c r="D134" s="74" t="str">
        <x:v>donvi.user</x:v>
      </x:c>
      <x:c r="E134" s="74" t="str">
        <x:v>Positive</x:v>
      </x:c>
      <x:c r="F134" s="80" t="str">
        <x:v>P1</x:v>
      </x:c>
      <x:c r="G134" s="74" t="str">
        <x:v>Đăng nhập donvi.user; kỳ phù hợp đang mở</x:v>
      </x:c>
      <x:c r="H134" s="74" t="str">
        <x:v>1. Mở http://10.10.79.248:8081/giai-phap-attt
2. Chờ tải danh sách
3. Đối chiếu đơn vị</x:v>
      </x:c>
      <x:c r="I134" s="74" t="str">
        <x:v>Dữ liệu Hà Nội</x:v>
      </x:c>
      <x:c r="J134" s="74" t="str">
        <x:v>Danh sách tải thành công và chỉ hiển thị dữ liệu trong phạm vi Hà Nội</x:v>
      </x:c>
      <x:c r="K134" s="83" t="str">
        <x:v>Chưa chạy</x:v>
      </x:c>
      <x:c r="L134" s="83" t="str"/>
      <x:c r="M134" s="86"/>
      <x:c r="N134" s="74" t="str"/>
      <x:c r="O134" s="74" t="str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ht="58" customHeight="1">
      <x:c r="A135" s="77" t="str">
        <x:v>TC-131</x:v>
      </x:c>
      <x:c r="B135" s="74" t="str">
        <x:v>Dữ liệu nghiệp vụ</x:v>
      </x:c>
      <x:c r="C135" s="74" t="str">
        <x:v>Giải pháp ATTT - thêm mới</x:v>
      </x:c>
      <x:c r="D135" s="74" t="str">
        <x:v>donvi.user</x:v>
      </x:c>
      <x:c r="E135" s="74" t="str">
        <x:v>Positive</x:v>
      </x:c>
      <x:c r="F135" s="80" t="str">
        <x:v>P1</x:v>
      </x:c>
      <x:c r="G135" s="74" t="str">
        <x:v>Có quyền tạo và kỳ chưa khóa</x:v>
      </x:c>
      <x:c r="H135" s="74" t="str">
        <x:v>1. Mở http://10.10.79.248:8081/giai-phap-attt
2. Bấm Thêm mới
3. Nhập đủ trường bắt buộc với hậu tố UAT
4. Lưu
5. Tải lại danh sách</x:v>
      </x:c>
      <x:c r="I135" s="74" t="str">
        <x:v>Bản ghi Giải pháp ATTT UAT_&lt;timestamp&gt;</x:v>
      </x:c>
      <x:c r="J135" s="74" t="str">
        <x:v>Lưu thành công; bản ghi xuất hiện sau khi tải lại và gắn đúng đơn vị</x:v>
      </x:c>
      <x:c r="K135" s="83" t="str">
        <x:v>Chưa chạy</x:v>
      </x:c>
      <x:c r="L135" s="83" t="str"/>
      <x:c r="M135" s="86"/>
      <x:c r="N135" s="74" t="str"/>
      <x:c r="O135" s="74" t="str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ht="58" customHeight="1">
      <x:c r="A136" s="77" t="str">
        <x:v>TC-132</x:v>
      </x:c>
      <x:c r="B136" s="74" t="str">
        <x:v>Dữ liệu nghiệp vụ</x:v>
      </x:c>
      <x:c r="C136" s="74" t="str">
        <x:v>Giải pháp ATTT - validation</x:v>
      </x:c>
      <x:c r="D136" s="74" t="str">
        <x:v>donvi.user</x:v>
      </x:c>
      <x:c r="E136" s="74" t="str">
        <x:v>Negative</x:v>
      </x:c>
      <x:c r="F136" s="80" t="str">
        <x:v>P1</x:v>
      </x:c>
      <x:c r="G136" s="74" t="str">
        <x:v>Mở form thêm mới</x:v>
      </x:c>
      <x:c r="H136" s="74" t="str">
        <x:v>1. Bỏ trống trường bắt buộc hoặc nhập giá trị ngoài giới hạn
2. Bấm Lưu</x:v>
      </x:c>
      <x:c r="I136" s="74" t="str">
        <x:v>Tên/loại giải pháp và số liệu bắt buộc phải hợp lệ</x:v>
      </x:c>
      <x:c r="J136" s="74" t="str">
        <x:v>Không lưu dữ liệu; trường lỗi được chỉ rõ và dữ liệu đã nhập hợp lệ không bị mất ngoài dự kiến</x:v>
      </x:c>
      <x:c r="K136" s="83" t="str">
        <x:v>Chưa chạy</x:v>
      </x:c>
      <x:c r="L136" s="83" t="str"/>
      <x:c r="M136" s="86"/>
      <x:c r="N136" s="74" t="str"/>
      <x:c r="O136" s="74" t="str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ht="58" customHeight="1">
      <x:c r="A137" s="77" t="str">
        <x:v>TC-133</x:v>
      </x:c>
      <x:c r="B137" s="74" t="str">
        <x:v>Dữ liệu nghiệp vụ</x:v>
      </x:c>
      <x:c r="C137" s="74" t="str">
        <x:v>Giải pháp ATTT - cập nhật</x:v>
      </x:c>
      <x:c r="D137" s="74" t="str">
        <x:v>donvi.user</x:v>
      </x:c>
      <x:c r="E137" s="74" t="str">
        <x:v>Positive</x:v>
      </x:c>
      <x:c r="F137" s="80" t="str">
        <x:v>P1</x:v>
      </x:c>
      <x:c r="G137" s="74" t="str">
        <x:v>Có bản ghi UAT và kỳ chưa khóa</x:v>
      </x:c>
      <x:c r="H137" s="74" t="str">
        <x:v>1. Mở bản ghi UAT
2. Thay đổi một trường cho phép
3. Lưu
4. Tải lại trang</x:v>
      </x:c>
      <x:c r="I137" s="74" t="str">
        <x:v>Thêm hậu tố _UPDATED</x:v>
      </x:c>
      <x:c r="J137" s="74" t="str">
        <x:v>Cập nhật thành công; giá trị mới được giữ sau khi tải lại và lịch sử/snapshot cũ không bị thay đổi ngoài quy tắc</x:v>
      </x:c>
      <x:c r="K137" s="83" t="str">
        <x:v>Chưa chạy</x:v>
      </x:c>
      <x:c r="L137" s="83" t="str"/>
      <x:c r="M137" s="86"/>
      <x:c r="N137" s="74" t="str"/>
      <x:c r="O137" s="74" t="str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ht="58" customHeight="1">
      <x:c r="A138" s="77" t="str">
        <x:v>TC-134</x:v>
      </x:c>
      <x:c r="B138" s="74" t="str">
        <x:v>Dữ liệu nghiệp vụ</x:v>
      </x:c>
      <x:c r="C138" s="74" t="str">
        <x:v>HTTT tiêu chuẩn - tải danh sách</x:v>
      </x:c>
      <x:c r="D138" s="74" t="str">
        <x:v>donvi.user</x:v>
      </x:c>
      <x:c r="E138" s="74" t="str">
        <x:v>Positive</x:v>
      </x:c>
      <x:c r="F138" s="80" t="str">
        <x:v>P1</x:v>
      </x:c>
      <x:c r="G138" s="74" t="str">
        <x:v>Đăng nhập donvi.user; kỳ phù hợp đang mở</x:v>
      </x:c>
      <x:c r="H138" s="74" t="str">
        <x:v>1. Mở http://10.10.79.248:8081/he-thong-thong-tin
2. Chờ tải danh sách
3. Đối chiếu đơn vị</x:v>
      </x:c>
      <x:c r="I138" s="74" t="str">
        <x:v>Dữ liệu Hà Nội</x:v>
      </x:c>
      <x:c r="J138" s="74" t="str">
        <x:v>Danh sách tải thành công và chỉ hiển thị dữ liệu trong phạm vi Hà Nội</x:v>
      </x:c>
      <x:c r="K138" s="83" t="str">
        <x:v>Chưa chạy</x:v>
      </x:c>
      <x:c r="L138" s="83" t="str"/>
      <x:c r="M138" s="86"/>
      <x:c r="N138" s="74" t="str"/>
      <x:c r="O138" s="74" t="str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ht="58" customHeight="1">
      <x:c r="A139" s="77" t="str">
        <x:v>TC-135</x:v>
      </x:c>
      <x:c r="B139" s="74" t="str">
        <x:v>Dữ liệu nghiệp vụ</x:v>
      </x:c>
      <x:c r="C139" s="74" t="str">
        <x:v>HTTT tiêu chuẩn - thêm mới</x:v>
      </x:c>
      <x:c r="D139" s="74" t="str">
        <x:v>donvi.user</x:v>
      </x:c>
      <x:c r="E139" s="74" t="str">
        <x:v>Positive</x:v>
      </x:c>
      <x:c r="F139" s="80" t="str">
        <x:v>P1</x:v>
      </x:c>
      <x:c r="G139" s="74" t="str">
        <x:v>Có quyền tạo và kỳ chưa khóa</x:v>
      </x:c>
      <x:c r="H139" s="74" t="str">
        <x:v>1. Mở http://10.10.79.248:8081/he-thong-thong-tin
2. Bấm Thêm mới
3. Nhập đủ trường bắt buộc với hậu tố UAT
4. Lưu
5. Tải lại danh sách</x:v>
      </x:c>
      <x:c r="I139" s="74" t="str">
        <x:v>Bản ghi HTTT tiêu chuẩn UAT_&lt;timestamp&gt;</x:v>
      </x:c>
      <x:c r="J139" s="74" t="str">
        <x:v>Lưu thành công; bản ghi xuất hiện sau khi tải lại và gắn đúng đơn vị</x:v>
      </x:c>
      <x:c r="K139" s="83" t="str">
        <x:v>Chưa chạy</x:v>
      </x:c>
      <x:c r="L139" s="83" t="str"/>
      <x:c r="M139" s="86"/>
      <x:c r="N139" s="74" t="str"/>
      <x:c r="O139" s="74" t="str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ht="58" customHeight="1">
      <x:c r="A140" s="77" t="str">
        <x:v>TC-136</x:v>
      </x:c>
      <x:c r="B140" s="74" t="str">
        <x:v>Dữ liệu nghiệp vụ</x:v>
      </x:c>
      <x:c r="C140" s="74" t="str">
        <x:v>HTTT tiêu chuẩn - validation</x:v>
      </x:c>
      <x:c r="D140" s="74" t="str">
        <x:v>donvi.user</x:v>
      </x:c>
      <x:c r="E140" s="74" t="str">
        <x:v>Negative</x:v>
      </x:c>
      <x:c r="F140" s="80" t="str">
        <x:v>P1</x:v>
      </x:c>
      <x:c r="G140" s="74" t="str">
        <x:v>Mở form thêm mới</x:v>
      </x:c>
      <x:c r="H140" s="74" t="str">
        <x:v>1. Bỏ trống trường bắt buộc hoặc nhập giá trị ngoài giới hạn
2. Bấm Lưu</x:v>
      </x:c>
      <x:c r="I140" s="74" t="str">
        <x:v>Kiểm tra phần tiêu chuẩn áp dụng trong hồ sơ hệ thống thông tin</x:v>
      </x:c>
      <x:c r="J140" s="74" t="str">
        <x:v>Không lưu dữ liệu; trường lỗi được chỉ rõ và dữ liệu đã nhập hợp lệ không bị mất ngoài dự kiến</x:v>
      </x:c>
      <x:c r="K140" s="83" t="str">
        <x:v>Chưa chạy</x:v>
      </x:c>
      <x:c r="L140" s="83" t="str"/>
      <x:c r="M140" s="86"/>
      <x:c r="N140" s="74" t="str"/>
      <x:c r="O140" s="74" t="str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ht="58" customHeight="1">
      <x:c r="A141" s="77" t="str">
        <x:v>TC-137</x:v>
      </x:c>
      <x:c r="B141" s="74" t="str">
        <x:v>Dữ liệu nghiệp vụ</x:v>
      </x:c>
      <x:c r="C141" s="74" t="str">
        <x:v>HTTT tiêu chuẩn - cập nhật</x:v>
      </x:c>
      <x:c r="D141" s="74" t="str">
        <x:v>donvi.user</x:v>
      </x:c>
      <x:c r="E141" s="74" t="str">
        <x:v>Positive</x:v>
      </x:c>
      <x:c r="F141" s="80" t="str">
        <x:v>P1</x:v>
      </x:c>
      <x:c r="G141" s="74" t="str">
        <x:v>Có bản ghi UAT và kỳ chưa khóa</x:v>
      </x:c>
      <x:c r="H141" s="74" t="str">
        <x:v>1. Mở bản ghi UAT
2. Thay đổi một trường cho phép
3. Lưu
4. Tải lại trang</x:v>
      </x:c>
      <x:c r="I141" s="74" t="str">
        <x:v>Thêm hậu tố _UPDATED</x:v>
      </x:c>
      <x:c r="J141" s="74" t="str">
        <x:v>Cập nhật thành công; giá trị mới được giữ sau khi tải lại và lịch sử/snapshot cũ không bị thay đổi ngoài quy tắc</x:v>
      </x:c>
      <x:c r="K141" s="83" t="str">
        <x:v>Chưa chạy</x:v>
      </x:c>
      <x:c r="L141" s="83" t="str"/>
      <x:c r="M141" s="86"/>
      <x:c r="N141" s="74" t="str"/>
      <x:c r="O141" s="74" t="str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ht="58" customHeight="1">
      <x:c r="A142" s="77" t="str">
        <x:v>TC-138</x:v>
      </x:c>
      <x:c r="B142" s="74" t="str">
        <x:v>Tệp và tích hợp</x:v>
      </x:c>
      <x:c r="C142" s="74" t="str">
        <x:v>Đường dẫn MinIO công khai</x:v>
      </x:c>
      <x:c r="D142" s="74" t="str">
        <x:v>Kỹ thuật</x:v>
      </x:c>
      <x:c r="E142" s="74" t="str">
        <x:v>Integration</x:v>
      </x:c>
      <x:c r="F142" s="80" t="str">
        <x:v>P0</x:v>
      </x:c>
      <x:c r="G142" s="74" t="str">
        <x:v>Đã tạo URL tải file</x:v>
      </x:c>
      <x:c r="H142" s="74" t="str">
        <x:v>1. Mở Developer Tools &gt; Network
2. Xem request tải PDF</x:v>
      </x:c>
      <x:c r="I142" s="74" t="str">
        <x:v>URL presigned</x:v>
      </x:c>
      <x:c r="J142" s="74" t="str">
        <x:v>Hostname là 10.10.79.248:9000, không phải 127.0.0.1</x:v>
      </x:c>
      <x:c r="K142" s="83" t="str">
        <x:v>Chưa chạy</x:v>
      </x:c>
      <x:c r="L142" s="83" t="str"/>
      <x:c r="M142" s="86"/>
      <x:c r="N142" s="74" t="str"/>
      <x:c r="O142" s="74" t="str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ht="58" customHeight="1">
      <x:c r="A143" s="77" t="str">
        <x:v>TC-139</x:v>
      </x:c>
      <x:c r="B143" s="74" t="str">
        <x:v>Tệp và tích hợp</x:v>
      </x:c>
      <x:c r="C143" s="74" t="str">
        <x:v>File không tồn tại trên MinIO</x:v>
      </x:c>
      <x:c r="D143" s="74" t="str">
        <x:v>h05.viewer</x:v>
      </x:c>
      <x:c r="E143" s="74" t="str">
        <x:v>Negative</x:v>
      </x:c>
      <x:c r="F143" s="80" t="str">
        <x:v>P1</x:v>
      </x:c>
      <x:c r="G143" s="74" t="str">
        <x:v>Dùng bản ghi test tham chiếu object không tồn tại</x:v>
      </x:c>
      <x:c r="H143" s="74" t="str">
        <x:v>1. Bấm xem/tải file</x:v>
      </x:c>
      <x:c r="I143" s="74" t="str">
        <x:v>Object key không tồn tại</x:v>
      </x:c>
      <x:c r="J143" s="74" t="str">
        <x:v>Hiển thị lỗi dễ hiểu; giao diện không treo và không lộ thông tin nhạy cảm</x:v>
      </x:c>
      <x:c r="K143" s="83" t="str">
        <x:v>Chưa chạy</x:v>
      </x:c>
      <x:c r="L143" s="83" t="str"/>
      <x:c r="M143" s="86"/>
      <x:c r="N143" s="74" t="str"/>
      <x:c r="O143" s="74" t="str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ht="58" customHeight="1">
      <x:c r="A144" s="77" t="str">
        <x:v>TC-140</x:v>
      </x:c>
      <x:c r="B144" s="74" t="str">
        <x:v>Tệp và tích hợp</x:v>
      </x:c>
      <x:c r="C144" s="74" t="str">
        <x:v>Tên file tải về</x:v>
      </x:c>
      <x:c r="D144" s="74" t="str">
        <x:v>h05.viewer</x:v>
      </x:c>
      <x:c r="E144" s="74" t="str">
        <x:v>Positive</x:v>
      </x:c>
      <x:c r="F144" s="80" t="str">
        <x:v>P2</x:v>
      </x:c>
      <x:c r="G144" s="74" t="str">
        <x:v>Có báo cáo đã khóa</x:v>
      </x:c>
      <x:c r="H144" s="74" t="str">
        <x:v>1. Tải Excel và PDF
2. Kiểm tra tên file</x:v>
      </x:c>
      <x:c r="I144" s="74" t="str">
        <x:v>Kỳ/đơn vị/phiên bản</x:v>
      </x:c>
      <x:c r="J144" s="74" t="str">
        <x:v>Tên file chứa thông tin nhận biết báo cáo và đúng phần mở rộng</x:v>
      </x:c>
      <x:c r="K144" s="83" t="str">
        <x:v>Chưa chạy</x:v>
      </x:c>
      <x:c r="L144" s="83" t="str"/>
      <x:c r="M144" s="86"/>
      <x:c r="N144" s="74" t="str"/>
      <x:c r="O144" s="74" t="str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ht="58" customHeight="1">
      <x:c r="A145" s="77" t="str">
        <x:v>TC-141</x:v>
      </x:c>
      <x:c r="B145" s="74" t="str">
        <x:v>Tệp và tích hợp</x:v>
      </x:c>
      <x:c r="C145" s="74" t="str">
        <x:v>PDF có nội dung</x:v>
      </x:c>
      <x:c r="D145" s="74" t="str">
        <x:v>h05.viewer</x:v>
      </x:c>
      <x:c r="E145" s="74" t="str">
        <x:v>Integration</x:v>
      </x:c>
      <x:c r="F145" s="80" t="str">
        <x:v>P0</x:v>
      </x:c>
      <x:c r="G145" s="74" t="str">
        <x:v>PDF tải thành công</x:v>
      </x:c>
      <x:c r="H145" s="74" t="str">
        <x:v>1. Mở PDF
2. Kiểm tra tiêu đề, đơn vị, kỳ và số liệu chính</x:v>
      </x:c>
      <x:c r="I145" s="74" t="str">
        <x:v>Báo cáo Hà Nội</x:v>
      </x:c>
      <x:c r="J145" s="74" t="str">
        <x:v>Nội dung không trắng; tiếng Việt hiển thị đúng; số liệu khớp giao diện/Excel</x:v>
      </x:c>
      <x:c r="K145" s="83" t="str">
        <x:v>Chưa chạy</x:v>
      </x:c>
      <x:c r="L145" s="83" t="str"/>
      <x:c r="M145" s="86"/>
      <x:c r="N145" s="74" t="str"/>
      <x:c r="O145" s="74" t="str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ht="58" customHeight="1">
      <x:c r="A146" s="77" t="str">
        <x:v>TC-142</x:v>
      </x:c>
      <x:c r="B146" s="74" t="str">
        <x:v>Tệp và tích hợp</x:v>
      </x:c>
      <x:c r="C146" s="74" t="str">
        <x:v>Excel có đủ sheet</x:v>
      </x:c>
      <x:c r="D146" s="74" t="str">
        <x:v>h05.viewer</x:v>
      </x:c>
      <x:c r="E146" s="74" t="str">
        <x:v>Integration</x:v>
      </x:c>
      <x:c r="F146" s="80" t="str">
        <x:v>P1</x:v>
      </x:c>
      <x:c r="G146" s="74" t="str">
        <x:v>Excel tải thành công</x:v>
      </x:c>
      <x:c r="H146" s="74" t="str">
        <x:v>1. Mở file Excel
2. Kiểm tra sheet tổng hợp và chi tiết
3. Đối chiếu số liệu</x:v>
      </x:c>
      <x:c r="I146" s="74" t="str">
        <x:v>Báo cáo có nhiều module</x:v>
      </x:c>
      <x:c r="J146" s="74" t="str">
        <x:v>Các sheet cần thiết tồn tại, công thức/định dạng mở không lỗi và số liệu khớp</x:v>
      </x:c>
      <x:c r="K146" s="83" t="str">
        <x:v>Chưa chạy</x:v>
      </x:c>
      <x:c r="L146" s="83" t="str"/>
      <x:c r="M146" s="86"/>
      <x:c r="N146" s="74" t="str"/>
      <x:c r="O146" s="74" t="str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ht="58" customHeight="1">
      <x:c r="A147" s="77" t="str">
        <x:v>TC-143</x:v>
      </x:c>
      <x:c r="B147" s="74" t="str">
        <x:v>Tệp và tích hợp</x:v>
      </x:c>
      <x:c r="C147" s="74" t="str">
        <x:v>Tải file đồng thời</x:v>
      </x:c>
      <x:c r="D147" s="74" t="str">
        <x:v>h05.user</x:v>
      </x:c>
      <x:c r="E147" s="74" t="str">
        <x:v>Concurrency</x:v>
      </x:c>
      <x:c r="F147" s="80" t="str">
        <x:v>P2</x:v>
      </x:c>
      <x:c r="G147" s="74" t="str">
        <x:v>Có báo cáo đã khóa</x:v>
      </x:c>
      <x:c r="H147" s="74" t="str">
        <x:v>1. Mở hai tab
2. Tải cùng báo cáo ở cả hai tab gần đồng thời</x:v>
      </x:c>
      <x:c r="I147" s="74" t="str">
        <x:v>2 request đồng thời</x:v>
      </x:c>
      <x:c r="J147" s="74" t="str">
        <x:v>Cả hai request hoàn tất hoặc dùng cache hợp lệ; không tạo file lỗi/trùng bất thường</x:v>
      </x:c>
      <x:c r="K147" s="83" t="str">
        <x:v>Chưa chạy</x:v>
      </x:c>
      <x:c r="L147" s="83" t="str"/>
      <x:c r="M147" s="86"/>
      <x:c r="N147" s="74" t="str"/>
      <x:c r="O147" s="74" t="str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ht="58" customHeight="1">
      <x:c r="A148" s="77" t="str">
        <x:v>TC-144</x:v>
      </x:c>
      <x:c r="B148" s="74" t="str">
        <x:v>Bảo mật</x:v>
      </x:c>
      <x:c r="C148" s="74" t="str">
        <x:v>API không có token</x:v>
      </x:c>
      <x:c r="D148" s="74" t="str">
        <x:v>Kỹ thuật</x:v>
      </x:c>
      <x:c r="E148" s="74" t="str">
        <x:v>Security</x:v>
      </x:c>
      <x:c r="F148" s="80" t="str">
        <x:v>P0</x:v>
      </x:c>
      <x:c r="G148" s="74" t="str">
        <x:v>Có công cụ gọi API</x:v>
      </x:c>
      <x:c r="H148" s="74" t="str">
        <x:v>1. Gọi API /api/v1/users không gửi Authorization</x:v>
      </x:c>
      <x:c r="I148" s="74" t="str">
        <x:v>Không token</x:v>
      </x:c>
      <x:c r="J148" s="74" t="str">
        <x:v>HTTP 401 và không trả dữ liệu người dùng</x:v>
      </x:c>
      <x:c r="K148" s="83" t="str">
        <x:v>Chưa chạy</x:v>
      </x:c>
      <x:c r="L148" s="83" t="str"/>
      <x:c r="M148" s="86"/>
      <x:c r="N148" s="74" t="str"/>
      <x:c r="O148" s="74" t="str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ht="58" customHeight="1">
      <x:c r="A149" s="77" t="str">
        <x:v>TC-145</x:v>
      </x:c>
      <x:c r="B149" s="74" t="str">
        <x:v>Bảo mật</x:v>
      </x:c>
      <x:c r="C149" s="74" t="str">
        <x:v>API token thiếu quyền</x:v>
      </x:c>
      <x:c r="D149" s="74" t="str">
        <x:v>viewer.user</x:v>
      </x:c>
      <x:c r="E149" s="74" t="str">
        <x:v>Security</x:v>
      </x:c>
      <x:c r="F149" s="80" t="str">
        <x:v>P0</x:v>
      </x:c>
      <x:c r="G149" s="74" t="str">
        <x:v>Có token viewer.user</x:v>
      </x:c>
      <x:c r="H149" s="74" t="str">
        <x:v>1. Gọi API tạo/cập nhật dữ liệu quản trị</x:v>
      </x:c>
      <x:c r="I149" s="74" t="str">
        <x:v>Token VIEWER</x:v>
      </x:c>
      <x:c r="J149" s="74" t="str">
        <x:v>HTTP 403; dữ liệu không thay đổi</x:v>
      </x:c>
      <x:c r="K149" s="83" t="str">
        <x:v>Chưa chạy</x:v>
      </x:c>
      <x:c r="L149" s="83" t="str"/>
      <x:c r="M149" s="86"/>
      <x:c r="N149" s="74" t="str"/>
      <x:c r="O149" s="74" t="str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ht="58" customHeight="1">
      <x:c r="A150" s="77" t="str">
        <x:v>TC-146</x:v>
      </x:c>
      <x:c r="B150" s="74" t="str">
        <x:v>Bảo mật</x:v>
      </x:c>
      <x:c r="C150" s="74" t="str">
        <x:v>Chuỗi XSS</x:v>
      </x:c>
      <x:c r="D150" s="74" t="str">
        <x:v>donvi.user</x:v>
      </x:c>
      <x:c r="E150" s="74" t="str">
        <x:v>Security</x:v>
      </x:c>
      <x:c r="F150" s="80" t="str">
        <x:v>P1</x:v>
      </x:c>
      <x:c r="G150" s="74" t="str">
        <x:v>Có form nhập ghi chú/tên</x:v>
      </x:c>
      <x:c r="H150" s="74" t="str">
        <x:v>1. Nhập chuỗi script vào trường văn bản
2. Lưu
3. Mở lại bản ghi</x:v>
      </x:c>
      <x:c r="I150" s="74" t="str">
        <x:v>&lt;script&gt;alert(1)&lt;/script&gt;</x:v>
      </x:c>
      <x:c r="J150" s="74" t="str">
        <x:v>Không thực thi script; dữ liệu được mã hóa/hiển thị an toàn hoặc bị validation từ chối</x:v>
      </x:c>
      <x:c r="K150" s="83" t="str">
        <x:v>Chưa chạy</x:v>
      </x:c>
      <x:c r="L150" s="83" t="str"/>
      <x:c r="M150" s="86"/>
      <x:c r="N150" s="74" t="str"/>
      <x:c r="O150" s="74" t="str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ht="58" customHeight="1">
      <x:c r="A151" s="77" t="str">
        <x:v>TC-147</x:v>
      </x:c>
      <x:c r="B151" s="74" t="str">
        <x:v>Bảo mật</x:v>
      </x:c>
      <x:c r="C151" s="74" t="str">
        <x:v>Chuỗi SQL injection</x:v>
      </x:c>
      <x:c r="D151" s="74" t="str">
        <x:v>Không yêu cầu</x:v>
      </x:c>
      <x:c r="E151" s="74" t="str">
        <x:v>Security</x:v>
      </x:c>
      <x:c r="F151" s="80" t="str">
        <x:v>P1</x:v>
      </x:c>
      <x:c r="G151" s="74" t="str">
        <x:v>Ở trang đăng nhập hoặc ô tìm kiếm</x:v>
      </x:c>
      <x:c r="H151" s="74" t="str">
        <x:v>1. Nhập payload SQL
2. Gửi yêu cầu</x:v>
      </x:c>
      <x:c r="I151" s="74" t="str">
        <x:v>' OR 1=1 --</x:v>
      </x:c>
      <x:c r="J151" s="74" t="str">
        <x:v>Không đăng nhập vượt quyền, không lỗi DB và không lộ stack trace</x:v>
      </x:c>
      <x:c r="K151" s="83" t="str">
        <x:v>Chưa chạy</x:v>
      </x:c>
      <x:c r="L151" s="83" t="str"/>
      <x:c r="M151" s="86"/>
      <x:c r="N151" s="74" t="str"/>
      <x:c r="O151" s="74" t="str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ht="58" customHeight="1">
      <x:c r="A152" s="77" t="str">
        <x:v>TC-148</x:v>
      </x:c>
      <x:c r="B152" s="74" t="str">
        <x:v>Độ ổn định</x:v>
      </x:c>
      <x:c r="C152" s="74" t="str">
        <x:v>Hai người dùng đồng thời</x:v>
      </x:c>
      <x:c r="D152" s="74" t="str">
        <x:v>donvi.user và h05.user</x:v>
      </x:c>
      <x:c r="E152" s="74" t="str">
        <x:v>Concurrency</x:v>
      </x:c>
      <x:c r="F152" s="80" t="str">
        <x:v>P1</x:v>
      </x:c>
      <x:c r="G152" s="74" t="str">
        <x:v>Hai trình duyệt hoặc hai profile</x:v>
      </x:c>
      <x:c r="H152" s="74" t="str">
        <x:v>1. Đăng nhập hai vai trò
2. Thực hiện thao tác riêng
3. Tải lại cả hai phiên</x:v>
      </x:c>
      <x:c r="I152" s="74" t="str">
        <x:v>Hai tài khoản</x:v>
      </x:c>
      <x:c r="J152" s="74" t="str">
        <x:v>Dữ liệu và quyền không bị lẫn giữa hai phiên</x:v>
      </x:c>
      <x:c r="K152" s="83" t="str">
        <x:v>Chưa chạy</x:v>
      </x:c>
      <x:c r="L152" s="83" t="str"/>
      <x:c r="M152" s="86"/>
      <x:c r="N152" s="74" t="str"/>
      <x:c r="O152" s="74" t="str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ht="58" customHeight="1">
      <x:c r="A153" s="77" t="str">
        <x:v>TC-149</x:v>
      </x:c>
      <x:c r="B153" s="74" t="str">
        <x:v>Độ ổn định</x:v>
      </x:c>
      <x:c r="C153" s="74" t="str">
        <x:v>Tìm kiếm và phân trang</x:v>
      </x:c>
      <x:c r="D153" s="74" t="str">
        <x:v>donvi.user</x:v>
      </x:c>
      <x:c r="E153" s="74" t="str">
        <x:v>Performance</x:v>
      </x:c>
      <x:c r="F153" s="80" t="str">
        <x:v>P1</x:v>
      </x:c>
      <x:c r="G153" s="74" t="str">
        <x:v>Danh sách có đủ dữ liệu</x:v>
      </x:c>
      <x:c r="H153" s="74" t="str">
        <x:v>1. Nhập từ khóa
2. Đổi trang
3. Thay kích thước trang
4. Xóa lọc</x:v>
      </x:c>
      <x:c r="I153" s="74" t="str">
        <x:v>Từ khóa có và không có kết quả</x:v>
      </x:c>
      <x:c r="J153" s="74" t="str">
        <x:v>Kết quả, tổng số bản ghi và trạng thái lọc chính xác</x:v>
      </x:c>
      <x:c r="K153" s="83" t="str">
        <x:v>Chưa chạy</x:v>
      </x:c>
      <x:c r="L153" s="83" t="str"/>
      <x:c r="M153" s="86"/>
      <x:c r="N153" s="74" t="str"/>
      <x:c r="O153" s="74" t="str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ht="58" customHeight="1">
      <x:c r="A154" s="77" t="str">
        <x:v>TC-150</x:v>
      </x:c>
      <x:c r="B154" s="74" t="str">
        <x:v>Độ ổn định</x:v>
      </x:c>
      <x:c r="C154" s="74" t="str">
        <x:v>Thời gian tải trang chính</x:v>
      </x:c>
      <x:c r="D154" s="74" t="str">
        <x:v>Tất cả</x:v>
      </x:c>
      <x:c r="E154" s="74" t="str">
        <x:v>Performance</x:v>
      </x:c>
      <x:c r="F154" s="80" t="str">
        <x:v>P2</x:v>
      </x:c>
      <x:c r="G154" s="74" t="str">
        <x:v>Mạng nội bộ ổn định</x:v>
      </x:c>
      <x:c r="H154" s="74" t="str">
        <x:v>1. Đăng nhập
2. Đo thời gian mở Trang chủ và danh sách chính</x:v>
      </x:c>
      <x:c r="I154" s="74" t="str">
        <x:v>3 lần đo</x:v>
      </x:c>
      <x:c r="J154" s="74" t="str">
        <x:v>Trang phản hồi ổn định; mục tiêu UAT không quá 3 giây với dữ liệu hiện tại</x:v>
      </x:c>
      <x:c r="K154" s="83" t="str">
        <x:v>Chưa chạy</x:v>
      </x:c>
      <x:c r="L154" s="83" t="str"/>
      <x:c r="M154" s="86"/>
      <x:c r="N154" s="74" t="str"/>
      <x:c r="O154" s="74" t="str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ht="58" customHeight="1">
      <x:c r="A155" s="77" t="str">
        <x:v>TC-151</x:v>
      </x:c>
      <x:c r="B155" s="74" t="str">
        <x:v>Độ ổn định</x:v>
      </x:c>
      <x:c r="C155" s="74" t="str">
        <x:v>Trình duyệt Chrome và Edge</x:v>
      </x:c>
      <x:c r="D155" s="74" t="str">
        <x:v>Tất cả</x:v>
      </x:c>
      <x:c r="E155" s="74" t="str">
        <x:v>Compatibility</x:v>
      </x:c>
      <x:c r="F155" s="80" t="str">
        <x:v>P2</x:v>
      </x:c>
      <x:c r="G155" s="74" t="str">
        <x:v>Có Chrome và Edge bản được đội test sử dụng</x:v>
      </x:c>
      <x:c r="H155" s="74" t="str">
        <x:v>1. Chạy smoke test trên Chrome
2. Lặp lại trên Edge</x:v>
      </x:c>
      <x:c r="I155" s="74" t="str">
        <x:v>Độ phân giải từ 1366x768</x:v>
      </x:c>
      <x:c r="J155" s="74" t="str">
        <x:v>Không lệch bố cục nghiêm trọng; thao tác và tải file hoạt động tương đương</x:v>
      </x:c>
      <x:c r="K155" s="83" t="str">
        <x:v>Chưa chạy</x:v>
      </x:c>
      <x:c r="L155" s="83" t="str"/>
      <x:c r="M155" s="86"/>
      <x:c r="N155" s="74" t="str"/>
      <x:c r="O155" s="74" t="str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ht="58" customHeight="1">
      <x:c r="A156" s="77" t="str">
        <x:v>TC-152</x:v>
      </x:c>
      <x:c r="B156" s="74" t="str">
        <x:v>Độ ổn định</x:v>
      </x:c>
      <x:c r="C156" s="74" t="str">
        <x:v>Khôi phục sau lỗi mạng ngắn</x:v>
      </x:c>
      <x:c r="D156" s="74" t="str">
        <x:v>donvi.user</x:v>
      </x:c>
      <x:c r="E156" s="74" t="str">
        <x:v>Recovery</x:v>
      </x:c>
      <x:c r="F156" s="80" t="str">
        <x:v>P2</x:v>
      </x:c>
      <x:c r="G156" s="74" t="str">
        <x:v>Đang mở form chưa lưu</x:v>
      </x:c>
      <x:c r="H156" s="74" t="str">
        <x:v>1. Ngắt mạng nội bộ trong thời gian ngắn
2. Thử lưu
3. Kết nối lại
4. Thử lại</x:v>
      </x:c>
      <x:c r="I156" s="74" t="str">
        <x:v>Mất mạng 10-20 giây</x:v>
      </x:c>
      <x:c r="J156" s="74" t="str">
        <x:v>Hiển thị lỗi phù hợp; không tạo bản ghi trùng và có thể thao tác lại sau khi mạng phục hồi</x:v>
      </x:c>
      <x:c r="K156" s="83" t="str">
        <x:v>Chưa chạy</x:v>
      </x:c>
      <x:c r="L156" s="83" t="str"/>
      <x:c r="M156" s="86"/>
      <x:c r="N156" s="74" t="str"/>
      <x:c r="O156" s="74" t="str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ht="58" customHeight="1">
      <x:c r="A157" s="78" t="str">
        <x:v>TC-153</x:v>
      </x:c>
      <x:c r="B157" s="75" t="str">
        <x:v>Độ ổn định</x:v>
      </x:c>
      <x:c r="C157" s="75" t="str">
        <x:v>Thông báo lỗi không lộ kỹ thuật</x:v>
      </x:c>
      <x:c r="D157" s="75" t="str">
        <x:v>Tất cả</x:v>
      </x:c>
      <x:c r="E157" s="75" t="str">
        <x:v>Security</x:v>
      </x:c>
      <x:c r="F157" s="81" t="str">
        <x:v>P1</x:v>
      </x:c>
      <x:c r="G157" s="75" t="str">
        <x:v>Tạo một request lỗi hợp lệ</x:v>
      </x:c>
      <x:c r="H157" s="75" t="str">
        <x:v>1. Gây lỗi validation hoặc truy cập trái quyền
2. Đọc thông báo UI</x:v>
      </x:c>
      <x:c r="I157" s="75" t="str">
        <x:v>Request lỗi</x:v>
      </x:c>
      <x:c r="J157" s="75" t="str">
        <x:v>Thông báo bằng tiếng Việt, không lộ stack trace, connection string hoặc mật khẩu</x:v>
      </x:c>
      <x:c r="K157" s="84" t="str">
        <x:v>Chưa chạy</x:v>
      </x:c>
      <x:c r="L157" s="84" t="str"/>
      <x:c r="M157" s="87"/>
      <x:c r="N157" s="75" t="str"/>
      <x:c r="O157" s="75" t="str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</x:sheetData>
  <x:mergeCells>
    <x:mergeCell ref="A2:O2"/>
  </x:mergeCells>
  <x:conditionalFormatting sqref="K5:K157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Đang chạy"/>
  </x:conditionalFormatting>
  <x:dataValidations count="3">
    <x:dataValidation type="list" sqref="K5:K157">
      <x:formula1>"Chưa chạy,Đang chạy,Pass,Fail,Blocked"</x:formula1>
    </x:dataValidation>
    <x:dataValidation type="list" sqref="F5:F157">
      <x:formula1>"P0,P1,P2"</x:formula1>
    </x:dataValidation>
    <x:dataValidation type="list" sqref="E5:E157">
      <x:formula1>"Smoke,Positive,Negative,Boundary,Authorization,Security,Workflow,Integration,Concurrency,Performance,Compatibility,Recovery"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abb31341cb442f"/>
  </x:tableParts>
</x:worksheet>
</file>

<file path=xl/worksheets/sheet5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6" customHeight="1">
      <x:c r="A1" s="3" t="str">
        <x:v>Tổng hợp kết quả UAT</x:v>
      </x:c>
      <x:c r="B1" s="2"/>
      <x:c r="C1" s="2"/>
      <x:c r="D1" s="2"/>
      <x:c r="E1" s="2"/>
      <x:c r="F1" s="2"/>
      <x:c r="G1" s="2"/>
      <x:c r="H1" s="2"/>
      <x:c r="I1" s="2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2" customHeight="1">
      <x:c r="A2" s="5" t="str">
        <x:v>Tự động cập nhật từ cột Trạng thái trong sheet Test cases</x:v>
      </x:c>
      <x:c r="B2" s="5"/>
      <x:c r="C2" s="5"/>
      <x:c r="D2" s="5"/>
      <x:c r="E2" s="5"/>
      <x:c r="F2" s="5"/>
      <x:c r="G2" s="5"/>
      <x:c r="H2" s="5"/>
      <x:c r="I2" s="5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9" t="str">
        <x:v>Chỉ số</x:v>
      </x:c>
      <x:c r="B4" s="29" t="str">
        <x:v>Kết quả</x:v>
      </x:c>
      <x:c r="C4" s="1"/>
      <x:c r="D4" s="29" t="str">
        <x:v>Ưu tiên</x:v>
      </x:c>
      <x:c r="E4" s="29" t="str">
        <x:v>Tổng</x:v>
      </x:c>
      <x:c r="F4" s="29" t="str">
        <x:v>Pass</x:v>
      </x:c>
      <x:c r="G4" s="29" t="str">
        <x:v>Fail</x:v>
      </x:c>
      <x:c r="H4" s="29" t="str">
        <x:v>Còn lại</x:v>
      </x:c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90" t="str">
        <x:v>Tổng testcase</x:v>
      </x:c>
      <x:c r="B5" s="32" t="n">
        <x:f>COUNTA('Test cases'!$A$5:$A$157)</x:f>
        <x:v>153</x:v>
      </x:c>
      <x:c r="C5" s="1"/>
      <x:c r="D5" s="30" t="str">
        <x:v>P0</x:v>
      </x:c>
      <x:c r="E5" s="31" t="n">
        <x:f>COUNTIF('Test cases'!$F$5:$F$157,D5)</x:f>
        <x:v>44</x:v>
      </x:c>
      <x:c r="F5" s="31" t="n">
        <x:f>COUNTIFS('Test cases'!$F$5:$F$157,D5,'Test cases'!$K$5:$K$157,"Pass")</x:f>
        <x:v>0</x:v>
      </x:c>
      <x:c r="G5" s="31" t="n">
        <x:f>COUNTIFS('Test cases'!$F$5:$F$157,D5,'Test cases'!$K$5:$K$157,"Fail")</x:f>
        <x:v>0</x:v>
      </x:c>
      <x:c r="H5" s="32" t="n">
        <x:f>E5-F5-G5</x:f>
        <x:v>44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91" t="str">
        <x:v>Pass</x:v>
      </x:c>
      <x:c r="B6" s="93" t="n">
        <x:f>COUNTIF('Test cases'!$K$5:$K$157,"Pass")</x:f>
        <x:v>0</x:v>
      </x:c>
      <x:c r="C6" s="1"/>
      <x:c r="D6" s="33" t="str">
        <x:v>P1</x:v>
      </x:c>
      <x:c r="E6" s="34" t="n">
        <x:f>COUNTIF('Test cases'!$F$5:$F$157,D6)</x:f>
        <x:v>102</x:v>
      </x:c>
      <x:c r="F6" s="34" t="n">
        <x:f>COUNTIFS('Test cases'!$F$5:$F$157,D6,'Test cases'!$K$5:$K$157,"Pass")</x:f>
        <x:v>0</x:v>
      </x:c>
      <x:c r="G6" s="34" t="n">
        <x:f>COUNTIFS('Test cases'!$F$5:$F$157,D6,'Test cases'!$K$5:$K$157,"Fail")</x:f>
        <x:v>0</x:v>
      </x:c>
      <x:c r="H6" s="35" t="n">
        <x:f>E6-F6-G6</x:f>
        <x:v>102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91" t="str">
        <x:v>Fail</x:v>
      </x:c>
      <x:c r="B7" s="94" t="n">
        <x:f>COUNTIF('Test cases'!$K$5:$K$157,"Fail")</x:f>
        <x:v>0</x:v>
      </x:c>
      <x:c r="C7" s="1"/>
      <x:c r="D7" s="36" t="str">
        <x:v>P2</x:v>
      </x:c>
      <x:c r="E7" s="37" t="n">
        <x:f>COUNTIF('Test cases'!$F$5:$F$157,D7)</x:f>
        <x:v>7</x:v>
      </x:c>
      <x:c r="F7" s="37" t="n">
        <x:f>COUNTIFS('Test cases'!$F$5:$F$157,D7,'Test cases'!$K$5:$K$157,"Pass")</x:f>
        <x:v>0</x:v>
      </x:c>
      <x:c r="G7" s="37" t="n">
        <x:f>COUNTIFS('Test cases'!$F$5:$F$157,D7,'Test cases'!$K$5:$K$157,"Fail")</x:f>
        <x:v>0</x:v>
      </x:c>
      <x:c r="H7" s="38" t="n">
        <x:f>E7-F7-G7</x:f>
        <x:v>7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91" t="str">
        <x:v>Blocked</x:v>
      </x:c>
      <x:c r="B8" s="95" t="n">
        <x:f>COUNTIF('Test cases'!$K$5:$K$157,"Blocked")</x:f>
        <x:v>0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91" t="str">
        <x:v>Đang chạy</x:v>
      </x:c>
      <x:c r="B9" s="35" t="n">
        <x:f>COUNTIF('Test cases'!$K$5:$K$157,"Đang chạy")</x:f>
        <x:v>0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91" t="str">
        <x:v>Chưa chạy</x:v>
      </x:c>
      <x:c r="B10" s="35" t="n">
        <x:f>COUNTIF('Test cases'!$K$5:$K$157,"Chưa chạy")</x:f>
        <x:v>153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92" t="str">
        <x:v>Tiến độ thực hiện</x:v>
      </x:c>
      <x:c r="B11" s="89" t="n">
        <x:f>IF(B5=0,0,(B6+B7+B8)/B5)</x:f>
        <x:v>0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29" t="str">
        <x:v>Nhóm chức năng</x:v>
      </x:c>
      <x:c r="B14" s="29" t="str">
        <x:v>Tổng</x:v>
      </x:c>
      <x:c r="C14" s="29" t="str">
        <x:v>Pass</x:v>
      </x:c>
      <x:c r="D14" s="29" t="str">
        <x:v>Fail</x:v>
      </x:c>
      <x:c r="E14" s="29" t="str">
        <x:v>Blocked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30" t="str">
        <x:v>Smoke</x:v>
      </x:c>
      <x:c r="B15" s="31" t="n">
        <x:f>COUNTIF('Test cases'!$B$5:$B$157,A15)</x:f>
        <x:v>8</x:v>
      </x:c>
      <x:c r="C15" s="31" t="n">
        <x:f>COUNTIFS('Test cases'!$B$5:$B$157,A15,'Test cases'!$K$5:$K$157,"Pass")</x:f>
        <x:v>0</x:v>
      </x:c>
      <x:c r="D15" s="31" t="n">
        <x:f>COUNTIFS('Test cases'!$B$5:$B$157,A15,'Test cases'!$K$5:$K$157,"Fail")</x:f>
        <x:v>0</x:v>
      </x:c>
      <x:c r="E15" s="32" t="n">
        <x:f>COUNTIFS('Test cases'!$B$5:$B$157,A15,'Test cases'!$K$5:$K$157,"Blocked")</x:f>
        <x:v>0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33" t="str">
        <x:v>Xác thực</x:v>
      </x:c>
      <x:c r="B16" s="34" t="n">
        <x:f>COUNTIF('Test cases'!$B$5:$B$157,A16)</x:f>
        <x:v>14</x:v>
      </x:c>
      <x:c r="C16" s="34" t="n">
        <x:f>COUNTIFS('Test cases'!$B$5:$B$157,A16,'Test cases'!$K$5:$K$157,"Pass")</x:f>
        <x:v>0</x:v>
      </x:c>
      <x:c r="D16" s="34" t="n">
        <x:f>COUNTIFS('Test cases'!$B$5:$B$157,A16,'Test cases'!$K$5:$K$157,"Fail")</x:f>
        <x:v>0</x:v>
      </x:c>
      <x:c r="E16" s="35" t="n">
        <x:f>COUNTIFS('Test cases'!$B$5:$B$157,A16,'Test cases'!$K$5:$K$157,"Blocked")</x:f>
        <x:v>0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33" t="str">
        <x:v>Phân quyền</x:v>
      </x:c>
      <x:c r="B17" s="34" t="n">
        <x:f>COUNTIF('Test cases'!$B$5:$B$157,A17)</x:f>
        <x:v>8</x:v>
      </x:c>
      <x:c r="C17" s="34" t="n">
        <x:f>COUNTIFS('Test cases'!$B$5:$B$157,A17,'Test cases'!$K$5:$K$157,"Pass")</x:f>
        <x:v>0</x:v>
      </x:c>
      <x:c r="D17" s="34" t="n">
        <x:f>COUNTIFS('Test cases'!$B$5:$B$157,A17,'Test cases'!$K$5:$K$157,"Fail")</x:f>
        <x:v>0</x:v>
      </x:c>
      <x:c r="E17" s="35" t="n">
        <x:f>COUNTIFS('Test cases'!$B$5:$B$157,A17,'Test cases'!$K$5:$K$157,"Blocked")</x:f>
        <x:v>0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33" t="str">
        <x:v>Quản trị</x:v>
      </x:c>
      <x:c r="B18" s="34" t="n">
        <x:f>COUNTIF('Test cases'!$B$5:$B$157,A18)</x:f>
        <x:v>15</x:v>
      </x:c>
      <x:c r="C18" s="34" t="n">
        <x:f>COUNTIFS('Test cases'!$B$5:$B$157,A18,'Test cases'!$K$5:$K$157,"Pass")</x:f>
        <x:v>0</x:v>
      </x:c>
      <x:c r="D18" s="34" t="n">
        <x:f>COUNTIFS('Test cases'!$B$5:$B$157,A18,'Test cases'!$K$5:$K$157,"Fail")</x:f>
        <x:v>0</x:v>
      </x:c>
      <x:c r="E18" s="35" t="n">
        <x:f>COUNTIFS('Test cases'!$B$5:$B$157,A18,'Test cases'!$K$5:$K$157,"Blocked")</x:f>
        <x:v>0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33" t="str">
        <x:v>Kỳ và mẫu báo cáo</x:v>
      </x:c>
      <x:c r="B19" s="34" t="n">
        <x:f>COUNTIF('Test cases'!$B$5:$B$157,A19)</x:f>
        <x:v>8</x:v>
      </x:c>
      <x:c r="C19" s="34" t="n">
        <x:f>COUNTIFS('Test cases'!$B$5:$B$157,A19,'Test cases'!$K$5:$K$157,"Pass")</x:f>
        <x:v>0</x:v>
      </x:c>
      <x:c r="D19" s="34" t="n">
        <x:f>COUNTIFS('Test cases'!$B$5:$B$157,A19,'Test cases'!$K$5:$K$157,"Fail")</x:f>
        <x:v>0</x:v>
      </x:c>
      <x:c r="E19" s="35" t="n">
        <x:f>COUNTIFS('Test cases'!$B$5:$B$157,A19,'Test cases'!$K$5:$K$157,"Blocked")</x:f>
        <x:v>0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33" t="str">
        <x:v>Nộp báo cáo</x:v>
      </x:c>
      <x:c r="B20" s="34" t="n">
        <x:f>COUNTIF('Test cases'!$B$5:$B$157,A20)</x:f>
        <x:v>5</x:v>
      </x:c>
      <x:c r="C20" s="34" t="n">
        <x:f>COUNTIFS('Test cases'!$B$5:$B$157,A20,'Test cases'!$K$5:$K$157,"Pass")</x:f>
        <x:v>0</x:v>
      </x:c>
      <x:c r="D20" s="34" t="n">
        <x:f>COUNTIFS('Test cases'!$B$5:$B$157,A20,'Test cases'!$K$5:$K$157,"Fail")</x:f>
        <x:v>0</x:v>
      </x:c>
      <x:c r="E20" s="35" t="n">
        <x:f>COUNTIFS('Test cases'!$B$5:$B$157,A20,'Test cases'!$K$5:$K$157,"Blocked")</x:f>
        <x:v>0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33" t="str">
        <x:v>Bổ sung báo cáo</x:v>
      </x:c>
      <x:c r="B21" s="34" t="n">
        <x:f>COUNTIF('Test cases'!$B$5:$B$157,A21)</x:f>
        <x:v>3</x:v>
      </x:c>
      <x:c r="C21" s="34" t="n">
        <x:f>COUNTIFS('Test cases'!$B$5:$B$157,A21,'Test cases'!$K$5:$K$157,"Pass")</x:f>
        <x:v>0</x:v>
      </x:c>
      <x:c r="D21" s="34" t="n">
        <x:f>COUNTIFS('Test cases'!$B$5:$B$157,A21,'Test cases'!$K$5:$K$157,"Fail")</x:f>
        <x:v>0</x:v>
      </x:c>
      <x:c r="E21" s="35" t="n">
        <x:f>COUNTIFS('Test cases'!$B$5:$B$157,A21,'Test cases'!$K$5:$K$157,"Blocked")</x:f>
        <x:v>0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33" t="str">
        <x:v>Tiến độ</x:v>
      </x:c>
      <x:c r="B22" s="34" t="n">
        <x:f>COUNTIF('Test cases'!$B$5:$B$157,A22)</x:f>
        <x:v>1</x:v>
      </x:c>
      <x:c r="C22" s="34" t="n">
        <x:f>COUNTIFS('Test cases'!$B$5:$B$157,A22,'Test cases'!$K$5:$K$157,"Pass")</x:f>
        <x:v>0</x:v>
      </x:c>
      <x:c r="D22" s="34" t="n">
        <x:f>COUNTIFS('Test cases'!$B$5:$B$157,A22,'Test cases'!$K$5:$K$157,"Fail")</x:f>
        <x:v>0</x:v>
      </x:c>
      <x:c r="E22" s="35" t="n">
        <x:f>COUNTIFS('Test cases'!$B$5:$B$157,A22,'Test cases'!$K$5:$K$157,"Blocked")</x:f>
        <x:v>0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33" t="str">
        <x:v>Tra cứu báo cáo</x:v>
      </x:c>
      <x:c r="B23" s="34" t="n">
        <x:f>COUNTIF('Test cases'!$B$5:$B$157,A23)</x:f>
        <x:v>6</x:v>
      </x:c>
      <x:c r="C23" s="34" t="n">
        <x:f>COUNTIFS('Test cases'!$B$5:$B$157,A23,'Test cases'!$K$5:$K$157,"Pass")</x:f>
        <x:v>0</x:v>
      </x:c>
      <x:c r="D23" s="34" t="n">
        <x:f>COUNTIFS('Test cases'!$B$5:$B$157,A23,'Test cases'!$K$5:$K$157,"Fail")</x:f>
        <x:v>0</x:v>
      </x:c>
      <x:c r="E23" s="35" t="n">
        <x:f>COUNTIFS('Test cases'!$B$5:$B$157,A23,'Test cases'!$K$5:$K$157,"Blocked")</x:f>
        <x:v>0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33" t="str">
        <x:v>So sánh báo cáo</x:v>
      </x:c>
      <x:c r="B24" s="34" t="n">
        <x:f>COUNTIF('Test cases'!$B$5:$B$157,A24)</x:f>
        <x:v>1</x:v>
      </x:c>
      <x:c r="C24" s="34" t="n">
        <x:f>COUNTIFS('Test cases'!$B$5:$B$157,A24,'Test cases'!$K$5:$K$157,"Pass")</x:f>
        <x:v>0</x:v>
      </x:c>
      <x:c r="D24" s="34" t="n">
        <x:f>COUNTIFS('Test cases'!$B$5:$B$157,A24,'Test cases'!$K$5:$K$157,"Fail")</x:f>
        <x:v>0</x:v>
      </x:c>
      <x:c r="E24" s="35" t="n">
        <x:f>COUNTIFS('Test cases'!$B$5:$B$157,A24,'Test cases'!$K$5:$K$157,"Blocked")</x:f>
        <x:v>0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33" t="str">
        <x:v>Dữ liệu nghiệp vụ</x:v>
      </x:c>
      <x:c r="B25" s="34" t="n">
        <x:f>COUNTIF('Test cases'!$B$5:$B$157,A25)</x:f>
        <x:v>68</x:v>
      </x:c>
      <x:c r="C25" s="34" t="n">
        <x:f>COUNTIFS('Test cases'!$B$5:$B$157,A25,'Test cases'!$K$5:$K$157,"Pass")</x:f>
        <x:v>0</x:v>
      </x:c>
      <x:c r="D25" s="34" t="n">
        <x:f>COUNTIFS('Test cases'!$B$5:$B$157,A25,'Test cases'!$K$5:$K$157,"Fail")</x:f>
        <x:v>0</x:v>
      </x:c>
      <x:c r="E25" s="35" t="n">
        <x:f>COUNTIFS('Test cases'!$B$5:$B$157,A25,'Test cases'!$K$5:$K$157,"Blocked")</x:f>
        <x:v>0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33" t="str">
        <x:v>Tệp và tích hợp</x:v>
      </x:c>
      <x:c r="B26" s="34" t="n">
        <x:f>COUNTIF('Test cases'!$B$5:$B$157,A26)</x:f>
        <x:v>6</x:v>
      </x:c>
      <x:c r="C26" s="34" t="n">
        <x:f>COUNTIFS('Test cases'!$B$5:$B$157,A26,'Test cases'!$K$5:$K$157,"Pass")</x:f>
        <x:v>0</x:v>
      </x:c>
      <x:c r="D26" s="34" t="n">
        <x:f>COUNTIFS('Test cases'!$B$5:$B$157,A26,'Test cases'!$K$5:$K$157,"Fail")</x:f>
        <x:v>0</x:v>
      </x:c>
      <x:c r="E26" s="35" t="n">
        <x:f>COUNTIFS('Test cases'!$B$5:$B$157,A26,'Test cases'!$K$5:$K$157,"Blocked")</x:f>
        <x:v>0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33" t="str">
        <x:v>Bảo mật</x:v>
      </x:c>
      <x:c r="B27" s="34" t="n">
        <x:f>COUNTIF('Test cases'!$B$5:$B$157,A27)</x:f>
        <x:v>4</x:v>
      </x:c>
      <x:c r="C27" s="34" t="n">
        <x:f>COUNTIFS('Test cases'!$B$5:$B$157,A27,'Test cases'!$K$5:$K$157,"Pass")</x:f>
        <x:v>0</x:v>
      </x:c>
      <x:c r="D27" s="34" t="n">
        <x:f>COUNTIFS('Test cases'!$B$5:$B$157,A27,'Test cases'!$K$5:$K$157,"Fail")</x:f>
        <x:v>0</x:v>
      </x:c>
      <x:c r="E27" s="35" t="n">
        <x:f>COUNTIFS('Test cases'!$B$5:$B$157,A27,'Test cases'!$K$5:$K$157,"Blocked")</x:f>
        <x:v>0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36" t="str">
        <x:v>Độ ổn định</x:v>
      </x:c>
      <x:c r="B28" s="37" t="n">
        <x:f>COUNTIF('Test cases'!$B$5:$B$157,A28)</x:f>
        <x:v>6</x:v>
      </x:c>
      <x:c r="C28" s="37" t="n">
        <x:f>COUNTIFS('Test cases'!$B$5:$B$157,A28,'Test cases'!$K$5:$K$157,"Pass")</x:f>
        <x:v>0</x:v>
      </x:c>
      <x:c r="D28" s="37" t="n">
        <x:f>COUNTIFS('Test cases'!$B$5:$B$157,A28,'Test cases'!$K$5:$K$157,"Fail")</x:f>
        <x:v>0</x:v>
      </x:c>
      <x:c r="E28" s="38" t="n">
        <x:f>COUNTIFS('Test cases'!$B$5:$B$157,A28,'Test cases'!$K$5:$K$157,"Blocked")</x:f>
        <x:v>0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</x:sheetData>
  <x:mergeCells>
    <x:mergeCell ref="A2:I2"/>
  </x:mergeCells>
  <x:pageMargins left="0.7" right="0.7" top="0.75" bottom="0.75" header="0.3" footer="0.3"/>
</x:worksheet>
</file>